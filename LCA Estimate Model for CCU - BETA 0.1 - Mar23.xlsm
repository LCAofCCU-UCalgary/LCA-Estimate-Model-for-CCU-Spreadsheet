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emily.nishikawa1\OneDrive - University of Calgary\UofC PhD\Tool for the summer\"/>
    </mc:Choice>
  </mc:AlternateContent>
  <xr:revisionPtr revIDLastSave="3034" documentId="13_ncr:1_{8D5621D0-C3DA-44C2-AF12-C01CAC6BAD43}" xr6:coauthVersionLast="44" xr6:coauthVersionMax="44" xr10:uidLastSave="{4AE26569-7B59-4B55-8FD9-4F608587DC10}"/>
  <bookViews>
    <workbookView xWindow="28690" yWindow="-110" windowWidth="29020" windowHeight="15820" activeTab="1" xr2:uid="{631287B1-1E4D-42EF-B96F-0EC6F364FF7E}"/>
  </bookViews>
  <sheets>
    <sheet name="Change Log" sheetId="10" r:id="rId1"/>
    <sheet name="Overview" sheetId="1" r:id="rId2"/>
    <sheet name="Acronyms" sheetId="14" r:id="rId3"/>
    <sheet name="Main Input &amp; Output" sheetId="2" r:id="rId4"/>
    <sheet name="Summary Table" sheetId="11" r:id="rId5"/>
    <sheet name="Reduction by Hydrocarbon" sheetId="4" r:id="rId6"/>
    <sheet name="Involving Electricity" sheetId="6" r:id="rId7"/>
    <sheet name="Reduction by Hydrogen" sheetId="13" r:id="rId8"/>
    <sheet name="Involving Light" sheetId="12" r:id="rId9"/>
    <sheet name="Bioconversion" sheetId="16" r:id="rId10"/>
    <sheet name="Mineralization" sheetId="3" r:id="rId11"/>
    <sheet name="Incumbents" sheetId="17" r:id="rId12"/>
    <sheet name="Emission Factors" sheetId="9" r:id="rId13"/>
    <sheet name="Energy &amp; Unit Conversions" sheetId="7" r:id="rId14"/>
    <sheet name="Constants" sheetId="5" r:id="rId15"/>
    <sheet name="Process Correlations" sheetId="8" r:id="rId16"/>
  </sheets>
  <externalReferences>
    <externalReference r:id="rId17"/>
    <externalReference r:id="rId18"/>
  </externalReferences>
  <definedNames>
    <definedName name="_xlnm._FilterDatabase" localSheetId="4" hidden="1">'Summary Table'!$C$6:$C$19</definedName>
    <definedName name="Data_Mineralization">OFFSET(Mineralization!$AH$12,0,0,COUNTA(Mineralization!$AH:$AH),9)</definedName>
    <definedName name="Data_SOEC">OFFSET('Involving Electricity'!$AK$15,0,0,COUNTA('Involving Electricity'!$AK:$AK),9)</definedName>
    <definedName name="_xlnm.Extract" localSheetId="4">'Summary Table'!#REF!</definedName>
    <definedName name="GJ_per_MMBTU">'[1]Energy Params'!$C$26</definedName>
    <definedName name="kgCO2e_per_MJ_NG_combust">'Emission Factors'!$C$44</definedName>
    <definedName name="Mineralization_Product">'Main Input &amp; Output'!$C$37</definedName>
    <definedName name="Mineralization_Sub_Pathway">'Main Input &amp; Output'!$C$26</definedName>
    <definedName name="MJ_per_kg_NG_HHV">'[1]Energy Params'!$D$7</definedName>
    <definedName name="perKg_Category">OFFSET(Summary [2]Table!$Z$6,0,0,COUNTA(Summary [2]Table!$Z:$Z))</definedName>
    <definedName name="perKg_CO2Captured">OFFSET(Summary [2]Table!$AC$6,0,0,COUNTA(Summary [2]Table!$AC:$AC)-1)</definedName>
    <definedName name="perKg_CO2CaptureProcess">OFFSET(Summary [2]Table!$AD$6,0,0,COUNTA(Summary [2]Table!$AD:$AD)-1)</definedName>
    <definedName name="perKg_CO2Conversion">OFFSET(Summary [2]Table!$AF$6,0,0,COUNTA(Summary [2]Table!$AF:$AF)-1)</definedName>
    <definedName name="perKG_Electrolysis">OFFSET(Summary [2]Table!$AE$6,0,0,COUNTA(Summary [2]Table!$AE:$AE)-1)</definedName>
    <definedName name="perKg_EndUse">OFFSET(Summary [2]Table!$AG$6,0,0,COUNTA(Summary [2]Table!$AG:$AG)-1)</definedName>
    <definedName name="perKg_Net">OFFSET(Summary [2]Table!$AH$6,0,0,COUNTA(Summary [2]Table!$AH:$AH)-1)</definedName>
    <definedName name="perKg_Product">OFFSET(Summary [2]Table!$AB$6,0,0,COUNTA(Summary [2]Table!$AB:$AB)-1)</definedName>
    <definedName name="perKg_SubCategory">OFFSET(Summary [2]Table!$AA$6,0,0,COUNTA(Summary [2]Table!$AA:$AA)-1)</definedName>
    <definedName name="Table1">'Main Input &amp; Output'!$BO$1:$BV$11</definedName>
  </definedNames>
  <calcPr calcId="191029"/>
  <pivotCaches>
    <pivotCache cacheId="9" r:id="rId1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V3" i="2" l="1"/>
  <c r="BT2" i="2"/>
  <c r="BS2" i="2"/>
  <c r="BQ2" i="2"/>
  <c r="R75" i="6" l="1"/>
  <c r="N75" i="6"/>
  <c r="J75" i="6"/>
  <c r="J38" i="6" l="1"/>
  <c r="G38" i="9" l="1"/>
  <c r="G31" i="9"/>
  <c r="G17" i="9"/>
  <c r="G24" i="9"/>
  <c r="G10" i="9"/>
  <c r="R44" i="16" l="1"/>
  <c r="R38" i="16"/>
  <c r="C8" i="5" l="1"/>
  <c r="R18" i="16" l="1"/>
  <c r="F36" i="13"/>
  <c r="G15" i="9" l="1"/>
  <c r="U13" i="17" s="1"/>
  <c r="G14" i="9"/>
  <c r="I21" i="17" l="1"/>
  <c r="L21" i="17" s="1"/>
  <c r="I37" i="17"/>
  <c r="I45" i="17"/>
  <c r="L45" i="17" s="1"/>
  <c r="E46" i="17"/>
  <c r="I46" i="17" s="1"/>
  <c r="L46" i="17" s="1"/>
  <c r="I43" i="17"/>
  <c r="L43" i="17" s="1"/>
  <c r="E38" i="17"/>
  <c r="I38" i="17" s="1"/>
  <c r="L38" i="17" s="1"/>
  <c r="N13" i="17"/>
  <c r="I35" i="17"/>
  <c r="I27" i="17"/>
  <c r="E22" i="17"/>
  <c r="I22" i="17" s="1"/>
  <c r="L22" i="17" s="1"/>
  <c r="I17" i="17"/>
  <c r="L17" i="17" s="1"/>
  <c r="L35" i="17" l="1"/>
  <c r="Q11" i="3" l="1"/>
  <c r="Q11" i="16" l="1"/>
  <c r="N11" i="16"/>
  <c r="N11" i="3" l="1"/>
  <c r="S13" i="17"/>
  <c r="Q13" i="17"/>
  <c r="I19" i="17" s="1"/>
  <c r="L19" i="17" s="1"/>
  <c r="L13" i="17"/>
  <c r="I13" i="17"/>
  <c r="G13" i="17"/>
  <c r="E13" i="17"/>
  <c r="L37" i="17" l="1"/>
  <c r="I20" i="17"/>
  <c r="L20" i="17" s="1"/>
  <c r="I18" i="17"/>
  <c r="I28" i="17"/>
  <c r="I36" i="17"/>
  <c r="I39" i="17" s="1"/>
  <c r="I44" i="17"/>
  <c r="I23" i="17" l="1"/>
  <c r="L18" i="17"/>
  <c r="L23" i="17" s="1"/>
  <c r="L44" i="17"/>
  <c r="L47" i="17" s="1"/>
  <c r="I47" i="17"/>
  <c r="L36" i="17"/>
  <c r="L39" i="17" s="1"/>
  <c r="F36" i="6"/>
  <c r="J36" i="6"/>
  <c r="W27" i="11" l="1"/>
  <c r="W26" i="11"/>
  <c r="W25" i="11"/>
  <c r="M11" i="6"/>
  <c r="M11" i="4"/>
  <c r="N60" i="13" l="1"/>
  <c r="N59" i="13"/>
  <c r="N57" i="13"/>
  <c r="N41" i="13"/>
  <c r="N39" i="13"/>
  <c r="N21" i="13"/>
  <c r="N22" i="12"/>
  <c r="N21" i="12"/>
  <c r="N42" i="12"/>
  <c r="N41" i="12"/>
  <c r="N44" i="4"/>
  <c r="N43" i="4"/>
  <c r="N42" i="4"/>
  <c r="N41" i="4"/>
  <c r="N24" i="4"/>
  <c r="N23" i="4"/>
  <c r="N21" i="4"/>
  <c r="T11" i="13"/>
  <c r="O11" i="13"/>
  <c r="I69" i="13" s="1"/>
  <c r="K69" i="13" s="1"/>
  <c r="K11" i="13"/>
  <c r="AA11" i="13"/>
  <c r="I68" i="13" l="1"/>
  <c r="K68" i="13" s="1"/>
  <c r="I47" i="13"/>
  <c r="K47" i="13" s="1"/>
  <c r="I29" i="13"/>
  <c r="K29" i="13" s="1"/>
  <c r="I67" i="13"/>
  <c r="K67" i="13" s="1"/>
  <c r="I28" i="13"/>
  <c r="K28" i="13" s="1"/>
  <c r="I46" i="13"/>
  <c r="K46" i="13" s="1"/>
  <c r="I45" i="13"/>
  <c r="K45" i="13" s="1"/>
  <c r="I66" i="13"/>
  <c r="K66" i="13" s="1"/>
  <c r="X11" i="12"/>
  <c r="K11" i="12"/>
  <c r="I52" i="12" l="1"/>
  <c r="K52" i="12" s="1"/>
  <c r="I32" i="12"/>
  <c r="K32" i="12" s="1"/>
  <c r="I31" i="12"/>
  <c r="K31" i="12" s="1"/>
  <c r="I51" i="12"/>
  <c r="J69" i="13"/>
  <c r="J68" i="13"/>
  <c r="J28" i="13"/>
  <c r="J66" i="13"/>
  <c r="J47" i="13"/>
  <c r="J45" i="13"/>
  <c r="J29" i="13"/>
  <c r="J67" i="13"/>
  <c r="J46" i="13"/>
  <c r="J31" i="12" l="1"/>
  <c r="J32" i="12"/>
  <c r="J52" i="12"/>
  <c r="S11" i="4"/>
  <c r="I51" i="4" s="1"/>
  <c r="K51" i="4" s="1"/>
  <c r="X11" i="4" l="1"/>
  <c r="O11" i="4"/>
  <c r="K11" i="4"/>
  <c r="I49" i="4" l="1"/>
  <c r="K49" i="4" s="1"/>
  <c r="I29" i="4"/>
  <c r="K29" i="4" s="1"/>
  <c r="I50" i="4"/>
  <c r="K50" i="4" s="1"/>
  <c r="I30" i="4"/>
  <c r="K30" i="4" s="1"/>
  <c r="I48" i="4"/>
  <c r="K48" i="4" s="1"/>
  <c r="I28" i="4"/>
  <c r="K28" i="4" s="1"/>
  <c r="J51" i="4"/>
  <c r="N237" i="6"/>
  <c r="N142" i="6"/>
  <c r="N128" i="6"/>
  <c r="N127" i="6"/>
  <c r="N113" i="6"/>
  <c r="N112" i="6"/>
  <c r="N73" i="6"/>
  <c r="N71" i="6"/>
  <c r="N56" i="6"/>
  <c r="N54" i="6"/>
  <c r="N36" i="6"/>
  <c r="N38" i="6"/>
  <c r="J28" i="4" l="1"/>
  <c r="J30" i="4"/>
  <c r="J50" i="4"/>
  <c r="J49" i="4"/>
  <c r="J48" i="4"/>
  <c r="J29" i="4"/>
  <c r="J73" i="6" l="1"/>
  <c r="J56" i="6"/>
  <c r="O11" i="6"/>
  <c r="I63" i="6" l="1"/>
  <c r="K63" i="6" s="1"/>
  <c r="I45" i="6"/>
  <c r="K45" i="6" s="1"/>
  <c r="I82" i="6"/>
  <c r="I102" i="6"/>
  <c r="K102" i="6" s="1"/>
  <c r="T23" i="11"/>
  <c r="T24" i="11"/>
  <c r="F23" i="11"/>
  <c r="F24" i="11"/>
  <c r="C24" i="11"/>
  <c r="C23" i="11"/>
  <c r="B24" i="11"/>
  <c r="B23" i="11"/>
  <c r="J102" i="6" l="1"/>
  <c r="J63" i="6"/>
  <c r="J45" i="6"/>
  <c r="D44" i="16"/>
  <c r="G44" i="16" s="1"/>
  <c r="K44" i="16" s="1"/>
  <c r="O44" i="16" s="1"/>
  <c r="AY14" i="16" s="1"/>
  <c r="K42" i="16"/>
  <c r="D42" i="16"/>
  <c r="G42" i="16" s="1"/>
  <c r="K41" i="16"/>
  <c r="G41" i="16"/>
  <c r="G38" i="16"/>
  <c r="K38" i="16" s="1"/>
  <c r="O38" i="16" s="1"/>
  <c r="AU14" i="16" s="1"/>
  <c r="R24" i="11" s="1"/>
  <c r="G18" i="16"/>
  <c r="D26" i="16"/>
  <c r="G26" i="16" s="1"/>
  <c r="K26" i="16" s="1"/>
  <c r="V24" i="11" l="1"/>
  <c r="Q44" i="16"/>
  <c r="AO14" i="16" s="1"/>
  <c r="H24" i="11" s="1"/>
  <c r="Q38" i="16"/>
  <c r="AK14" i="16" s="1"/>
  <c r="D24" i="11" s="1"/>
  <c r="G23" i="16"/>
  <c r="K23" i="16" s="1"/>
  <c r="O23" i="16" s="1"/>
  <c r="G22" i="16"/>
  <c r="K22" i="16" s="1"/>
  <c r="O22" i="16" s="1"/>
  <c r="G21" i="16"/>
  <c r="K21" i="16"/>
  <c r="O26" i="16"/>
  <c r="K18" i="16"/>
  <c r="O18" i="16" s="1"/>
  <c r="AU13" i="16" s="1"/>
  <c r="R23" i="11" s="1"/>
  <c r="Y11" i="16"/>
  <c r="O11" i="16"/>
  <c r="I47" i="16" s="1"/>
  <c r="K47" i="16" s="1"/>
  <c r="L11" i="16"/>
  <c r="I48" i="16" l="1"/>
  <c r="K48" i="16" s="1"/>
  <c r="I29" i="16"/>
  <c r="K29" i="16" s="1"/>
  <c r="I46" i="16"/>
  <c r="K46" i="16" s="1"/>
  <c r="I28" i="16"/>
  <c r="K28" i="16" s="1"/>
  <c r="AY13" i="16"/>
  <c r="R26" i="16"/>
  <c r="Q18" i="16"/>
  <c r="AK13" i="16" s="1"/>
  <c r="D23" i="11" s="1"/>
  <c r="Q26" i="16"/>
  <c r="AO13" i="16" s="1"/>
  <c r="H23" i="11" s="1"/>
  <c r="J28" i="16" l="1"/>
  <c r="J48" i="16"/>
  <c r="J29" i="16"/>
  <c r="O41" i="16"/>
  <c r="J46" i="16"/>
  <c r="O42" i="16"/>
  <c r="J47" i="16"/>
  <c r="V23" i="11"/>
  <c r="O21" i="16"/>
  <c r="O25" i="16" s="1"/>
  <c r="AR14" i="16"/>
  <c r="K24" i="11" s="1"/>
  <c r="AQ14" i="16"/>
  <c r="J24" i="11" s="1"/>
  <c r="AS14" i="16"/>
  <c r="L24" i="11" s="1"/>
  <c r="AR13" i="16"/>
  <c r="K23" i="11" s="1"/>
  <c r="AQ13" i="16"/>
  <c r="J23" i="11" s="1"/>
  <c r="AS13" i="16"/>
  <c r="L23" i="11" s="1"/>
  <c r="O43" i="16" l="1"/>
  <c r="AX13" i="16"/>
  <c r="R25" i="16"/>
  <c r="Q25" i="16"/>
  <c r="AN13" i="16" s="1"/>
  <c r="G23" i="11" s="1"/>
  <c r="Q43" i="16" l="1"/>
  <c r="AN14" i="16" s="1"/>
  <c r="G24" i="11" s="1"/>
  <c r="R43" i="16"/>
  <c r="AX14" i="16"/>
  <c r="U24" i="11" s="1"/>
  <c r="U23" i="11"/>
  <c r="Y11" i="3"/>
  <c r="L11" i="3"/>
  <c r="O11" i="3"/>
  <c r="I30" i="3" s="1"/>
  <c r="K30" i="3" s="1"/>
  <c r="C38" i="9"/>
  <c r="J18" i="13"/>
  <c r="N18" i="13" s="1"/>
  <c r="R18" i="13" s="1"/>
  <c r="J19" i="13"/>
  <c r="N19" i="13" s="1"/>
  <c r="C31" i="9"/>
  <c r="O13" i="17" s="1"/>
  <c r="J21" i="13"/>
  <c r="J23" i="13"/>
  <c r="N23" i="13" s="1"/>
  <c r="F24" i="13"/>
  <c r="J24" i="13"/>
  <c r="N24" i="13" s="1"/>
  <c r="R24" i="13" s="1"/>
  <c r="Y11" i="6"/>
  <c r="J138" i="6"/>
  <c r="N138" i="6" s="1"/>
  <c r="R138" i="6" s="1"/>
  <c r="K11" i="6"/>
  <c r="J142" i="6"/>
  <c r="J143" i="6"/>
  <c r="N143" i="6" s="1"/>
  <c r="J144" i="6"/>
  <c r="N144" i="6" s="1"/>
  <c r="R144" i="6" s="1"/>
  <c r="J68" i="6"/>
  <c r="N68" i="6" s="1"/>
  <c r="R68" i="6" s="1"/>
  <c r="J69" i="6"/>
  <c r="N69" i="6" s="1"/>
  <c r="F77" i="6"/>
  <c r="J77" i="6" s="1"/>
  <c r="N77" i="6" s="1"/>
  <c r="R77" i="6" s="1"/>
  <c r="BB19" i="6" s="1"/>
  <c r="K42" i="3"/>
  <c r="D39" i="3"/>
  <c r="G39" i="3"/>
  <c r="K39" i="3" s="1"/>
  <c r="O39" i="3" s="1"/>
  <c r="E18" i="7"/>
  <c r="J232" i="6"/>
  <c r="N232" i="6" s="1"/>
  <c r="R232" i="6" s="1"/>
  <c r="J235" i="6"/>
  <c r="J237" i="6"/>
  <c r="J233" i="6"/>
  <c r="N233" i="6" s="1"/>
  <c r="S10" i="9"/>
  <c r="E29" i="17" s="1"/>
  <c r="I29" i="17" s="1"/>
  <c r="BW15" i="11"/>
  <c r="J113" i="6"/>
  <c r="J112" i="6"/>
  <c r="J127" i="6"/>
  <c r="K58" i="3"/>
  <c r="G18" i="3"/>
  <c r="K18" i="3"/>
  <c r="K22" i="3"/>
  <c r="K21" i="3"/>
  <c r="C24" i="9"/>
  <c r="C10" i="9"/>
  <c r="J60" i="13"/>
  <c r="J59" i="13"/>
  <c r="J57" i="13"/>
  <c r="J41" i="13"/>
  <c r="J39" i="13"/>
  <c r="J42" i="12"/>
  <c r="J41" i="12"/>
  <c r="J22" i="12"/>
  <c r="J21" i="12"/>
  <c r="J42" i="4"/>
  <c r="J41" i="4"/>
  <c r="J44" i="4"/>
  <c r="J43" i="4"/>
  <c r="J21" i="4"/>
  <c r="J24" i="4"/>
  <c r="J23" i="4"/>
  <c r="J205" i="6"/>
  <c r="N205" i="6" s="1"/>
  <c r="J204" i="6"/>
  <c r="N204" i="6" s="1"/>
  <c r="J190" i="6"/>
  <c r="N190" i="6" s="1"/>
  <c r="J189" i="6"/>
  <c r="N189" i="6" s="1"/>
  <c r="J175" i="6"/>
  <c r="N175" i="6" s="1"/>
  <c r="J174" i="6"/>
  <c r="N174" i="6" s="1"/>
  <c r="J128" i="6"/>
  <c r="J71" i="6"/>
  <c r="J54" i="6"/>
  <c r="J57" i="6" s="1"/>
  <c r="N57" i="6" s="1"/>
  <c r="J53" i="6"/>
  <c r="N53" i="6" s="1"/>
  <c r="D8" i="8"/>
  <c r="J34" i="6"/>
  <c r="N34" i="6" s="1"/>
  <c r="G58" i="3"/>
  <c r="G42" i="3"/>
  <c r="J23" i="12"/>
  <c r="N23" i="12"/>
  <c r="S24" i="9"/>
  <c r="J24" i="12"/>
  <c r="N24" i="12" s="1"/>
  <c r="S26" i="9"/>
  <c r="J25" i="12"/>
  <c r="N25" i="12"/>
  <c r="J26" i="12"/>
  <c r="N26" i="12"/>
  <c r="J27" i="12"/>
  <c r="N27" i="12"/>
  <c r="J19" i="12"/>
  <c r="N19" i="12" s="1"/>
  <c r="J18" i="12"/>
  <c r="N18" i="12" s="1"/>
  <c r="R18" i="12" s="1"/>
  <c r="F29" i="12"/>
  <c r="J29" i="12" s="1"/>
  <c r="N29" i="12" s="1"/>
  <c r="R29" i="12" s="1"/>
  <c r="F54" i="13"/>
  <c r="J54" i="13"/>
  <c r="N54" i="13" s="1"/>
  <c r="R54" i="13" s="1"/>
  <c r="F55" i="13"/>
  <c r="J55" i="13" s="1"/>
  <c r="N55" i="13" s="1"/>
  <c r="J61" i="13"/>
  <c r="N61" i="13" s="1"/>
  <c r="F62" i="13"/>
  <c r="J62" i="13" s="1"/>
  <c r="N62" i="13" s="1"/>
  <c r="F63" i="13"/>
  <c r="N63" i="13" s="1"/>
  <c r="R63" i="13" s="1"/>
  <c r="S20" i="9"/>
  <c r="J39" i="4"/>
  <c r="N39" i="4" s="1"/>
  <c r="J38" i="4"/>
  <c r="N38" i="4"/>
  <c r="R38" i="4" s="1"/>
  <c r="F46" i="4"/>
  <c r="J46" i="4" s="1"/>
  <c r="N46" i="4" s="1"/>
  <c r="R46" i="4" s="1"/>
  <c r="J22" i="4"/>
  <c r="N22" i="4" s="1"/>
  <c r="R22" i="4" s="1"/>
  <c r="J19" i="4"/>
  <c r="N19" i="4" s="1"/>
  <c r="J18" i="4"/>
  <c r="N18" i="4" s="1"/>
  <c r="R18" i="4" s="1"/>
  <c r="F26" i="4"/>
  <c r="J26" i="4" s="1"/>
  <c r="N26" i="4" s="1"/>
  <c r="R26" i="4" s="1"/>
  <c r="J124" i="6"/>
  <c r="N124" i="6" s="1"/>
  <c r="J123" i="6"/>
  <c r="N123" i="6" s="1"/>
  <c r="R123" i="6" s="1"/>
  <c r="F129" i="6"/>
  <c r="J129" i="6" s="1"/>
  <c r="N129" i="6" s="1"/>
  <c r="R129" i="6" s="1"/>
  <c r="J50" i="6"/>
  <c r="N50" i="6" s="1"/>
  <c r="R50" i="6" s="1"/>
  <c r="J51" i="6"/>
  <c r="N51" i="6" s="1"/>
  <c r="F58" i="6"/>
  <c r="J58" i="6" s="1"/>
  <c r="N58" i="6" s="1"/>
  <c r="R58" i="6" s="1"/>
  <c r="F37" i="13"/>
  <c r="J37" i="13" s="1"/>
  <c r="N37" i="13" s="1"/>
  <c r="J36" i="13"/>
  <c r="N36" i="13" s="1"/>
  <c r="R36" i="13" s="1"/>
  <c r="F42" i="13"/>
  <c r="J42" i="13" s="1"/>
  <c r="N42" i="13" s="1"/>
  <c r="R42" i="13" s="1"/>
  <c r="S22" i="9"/>
  <c r="J43" i="12"/>
  <c r="N43" i="12" s="1"/>
  <c r="J44" i="12"/>
  <c r="N44" i="12"/>
  <c r="J45" i="12"/>
  <c r="N45" i="12"/>
  <c r="J46" i="12"/>
  <c r="N46" i="12"/>
  <c r="J47" i="12"/>
  <c r="N47" i="12"/>
  <c r="J39" i="12"/>
  <c r="N39" i="12" s="1"/>
  <c r="J38" i="12"/>
  <c r="N38" i="12" s="1"/>
  <c r="R38" i="12" s="1"/>
  <c r="F49" i="12"/>
  <c r="J49" i="12" s="1"/>
  <c r="N49" i="12" s="1"/>
  <c r="R49" i="12" s="1"/>
  <c r="G55" i="3"/>
  <c r="K55" i="3"/>
  <c r="O55" i="3" s="1"/>
  <c r="W31" i="11"/>
  <c r="T8" i="11"/>
  <c r="F8" i="11"/>
  <c r="G21" i="3"/>
  <c r="G22" i="3"/>
  <c r="J201" i="6"/>
  <c r="N201" i="6" s="1"/>
  <c r="J186" i="6"/>
  <c r="N186" i="6" s="1"/>
  <c r="J170" i="6"/>
  <c r="N170" i="6" s="1"/>
  <c r="R170" i="6" s="1"/>
  <c r="J109" i="6"/>
  <c r="N109" i="6" s="1"/>
  <c r="J32" i="6"/>
  <c r="N32" i="6" s="1"/>
  <c r="J200" i="6"/>
  <c r="N200" i="6" s="1"/>
  <c r="R200" i="6" s="1"/>
  <c r="J185" i="6"/>
  <c r="N185" i="6" s="1"/>
  <c r="R185" i="6" s="1"/>
  <c r="AO16" i="11"/>
  <c r="T19" i="11"/>
  <c r="F19" i="11"/>
  <c r="AM18" i="13"/>
  <c r="AL18" i="13"/>
  <c r="F114" i="6"/>
  <c r="J114" i="6" s="1"/>
  <c r="N114" i="6" s="1"/>
  <c r="R114" i="6" s="1"/>
  <c r="J31" i="6"/>
  <c r="N31" i="6" s="1"/>
  <c r="R31" i="6" s="1"/>
  <c r="F40" i="6"/>
  <c r="J40" i="6" s="1"/>
  <c r="N40" i="6" s="1"/>
  <c r="R40" i="6" s="1"/>
  <c r="F18" i="11"/>
  <c r="T18" i="11"/>
  <c r="AO15" i="11"/>
  <c r="AM17" i="13"/>
  <c r="AL17" i="13"/>
  <c r="AO17" i="11"/>
  <c r="T20" i="11"/>
  <c r="F20" i="11"/>
  <c r="AM16" i="13"/>
  <c r="AL16" i="13"/>
  <c r="O18" i="3"/>
  <c r="Q18" i="3" s="1"/>
  <c r="AK14" i="3" s="1"/>
  <c r="D7" i="11" s="1"/>
  <c r="W30" i="11"/>
  <c r="W29" i="11"/>
  <c r="T6" i="11"/>
  <c r="T7" i="11"/>
  <c r="AS9" i="11"/>
  <c r="AS17" i="11"/>
  <c r="AS12" i="11"/>
  <c r="AS8" i="11"/>
  <c r="AS19" i="11"/>
  <c r="AS16" i="11"/>
  <c r="AS14" i="11"/>
  <c r="AS13" i="11"/>
  <c r="AS11" i="11"/>
  <c r="AS7" i="11"/>
  <c r="AS18" i="11"/>
  <c r="AS15" i="11"/>
  <c r="AS10" i="11"/>
  <c r="AS6" i="11"/>
  <c r="J206" i="6"/>
  <c r="N206" i="6" s="1"/>
  <c r="R206" i="6" s="1"/>
  <c r="F191" i="6"/>
  <c r="J191" i="6" s="1"/>
  <c r="N191" i="6" s="1"/>
  <c r="R191" i="6" s="1"/>
  <c r="U191" i="6" s="1"/>
  <c r="F176" i="6"/>
  <c r="J176" i="6" s="1"/>
  <c r="N176" i="6" s="1"/>
  <c r="R176" i="6" s="1"/>
  <c r="N235" i="6"/>
  <c r="J21" i="6"/>
  <c r="N21" i="6" s="1"/>
  <c r="J22" i="6"/>
  <c r="N22" i="6" s="1"/>
  <c r="J23" i="6"/>
  <c r="N23" i="6" s="1"/>
  <c r="J19" i="6"/>
  <c r="N19" i="6" s="1"/>
  <c r="J18" i="6"/>
  <c r="N18" i="6" s="1"/>
  <c r="R18" i="6" s="1"/>
  <c r="F22" i="11"/>
  <c r="F21" i="11"/>
  <c r="C22" i="11"/>
  <c r="C21" i="11"/>
  <c r="B21" i="11"/>
  <c r="AM17" i="12"/>
  <c r="AP9" i="11"/>
  <c r="AO13" i="11"/>
  <c r="T16" i="11"/>
  <c r="U12" i="11"/>
  <c r="J48" i="12"/>
  <c r="J28" i="12"/>
  <c r="AL17" i="12"/>
  <c r="AM16" i="12"/>
  <c r="AL16" i="12"/>
  <c r="F16" i="11"/>
  <c r="AM19" i="4"/>
  <c r="C17" i="11" s="1"/>
  <c r="AL19" i="4"/>
  <c r="B17" i="11" s="1"/>
  <c r="AM18" i="4"/>
  <c r="C16" i="11" s="1"/>
  <c r="AL18" i="4"/>
  <c r="B16" i="11" s="1"/>
  <c r="AM20" i="6"/>
  <c r="C12" i="11" s="1"/>
  <c r="AL20" i="6"/>
  <c r="AL17" i="6"/>
  <c r="AL18" i="6"/>
  <c r="AL19" i="6"/>
  <c r="AL22" i="6"/>
  <c r="AL23" i="6"/>
  <c r="AL24" i="6"/>
  <c r="AM23" i="6"/>
  <c r="C15" i="11" s="1"/>
  <c r="AM22" i="6"/>
  <c r="C14" i="11" s="1"/>
  <c r="AM21" i="6"/>
  <c r="C13" i="11" s="1"/>
  <c r="AL21" i="6"/>
  <c r="AM19" i="6"/>
  <c r="C11" i="11" s="1"/>
  <c r="AM18" i="6"/>
  <c r="C10" i="11"/>
  <c r="B7" i="11"/>
  <c r="C7" i="11"/>
  <c r="F7" i="11"/>
  <c r="F6" i="11"/>
  <c r="C6" i="11"/>
  <c r="B6" i="11"/>
  <c r="AM17" i="6"/>
  <c r="C9" i="11" s="1"/>
  <c r="AM16" i="6"/>
  <c r="AL16" i="6"/>
  <c r="B9" i="11" s="1"/>
  <c r="C17" i="9"/>
  <c r="T13" i="17" s="1"/>
  <c r="I81" i="6" l="1"/>
  <c r="K81" i="6" s="1"/>
  <c r="I118" i="6"/>
  <c r="I148" i="6"/>
  <c r="K148" i="6" s="1"/>
  <c r="I133" i="6"/>
  <c r="K133" i="6" s="1"/>
  <c r="I62" i="6"/>
  <c r="K62" i="6" s="1"/>
  <c r="I242" i="6"/>
  <c r="K242" i="6" s="1"/>
  <c r="I44" i="6"/>
  <c r="K44" i="6" s="1"/>
  <c r="I147" i="6"/>
  <c r="K147" i="6" s="1"/>
  <c r="I80" i="6"/>
  <c r="K80" i="6" s="1"/>
  <c r="I132" i="6"/>
  <c r="I241" i="6"/>
  <c r="K241" i="6" s="1"/>
  <c r="I43" i="6"/>
  <c r="K43" i="6" s="1"/>
  <c r="R34" i="6" s="1"/>
  <c r="BA17" i="6" s="1"/>
  <c r="U9" i="11" s="1"/>
  <c r="I117" i="6"/>
  <c r="K117" i="6" s="1"/>
  <c r="I61" i="6"/>
  <c r="K61" i="6" s="1"/>
  <c r="R53" i="6" s="1"/>
  <c r="J24" i="6"/>
  <c r="I29" i="3"/>
  <c r="K29" i="3" s="1"/>
  <c r="I63" i="3"/>
  <c r="K63" i="3" s="1"/>
  <c r="I47" i="3"/>
  <c r="K47" i="3" s="1"/>
  <c r="K118" i="6"/>
  <c r="I46" i="3"/>
  <c r="I62" i="3"/>
  <c r="I28" i="3"/>
  <c r="K132" i="6"/>
  <c r="F238" i="6"/>
  <c r="J238" i="6" s="1"/>
  <c r="N238" i="6" s="1"/>
  <c r="R238" i="6" s="1"/>
  <c r="T238" i="6" s="1"/>
  <c r="AR20" i="6" s="1"/>
  <c r="H12" i="11" s="1"/>
  <c r="R42" i="4"/>
  <c r="L27" i="17"/>
  <c r="L28" i="17"/>
  <c r="V11" i="11"/>
  <c r="T36" i="13"/>
  <c r="AN17" i="13" s="1"/>
  <c r="D18" i="11" s="1"/>
  <c r="U36" i="13"/>
  <c r="BH17" i="13" s="1"/>
  <c r="AM15" i="11" s="1"/>
  <c r="AX17" i="13"/>
  <c r="R18" i="11" s="1"/>
  <c r="J242" i="6"/>
  <c r="J29" i="3"/>
  <c r="U29" i="12"/>
  <c r="BL16" i="12" s="1"/>
  <c r="BB16" i="12"/>
  <c r="R21" i="4"/>
  <c r="U77" i="6"/>
  <c r="BL19" i="6" s="1"/>
  <c r="AQ8" i="11" s="1"/>
  <c r="L29" i="17"/>
  <c r="I30" i="17"/>
  <c r="W28" i="11" s="1"/>
  <c r="AA11" i="16"/>
  <c r="AA11" i="6"/>
  <c r="Z11" i="4"/>
  <c r="AA11" i="3"/>
  <c r="P11" i="4"/>
  <c r="J13" i="17"/>
  <c r="P11" i="3"/>
  <c r="P11" i="16"/>
  <c r="F13" i="17"/>
  <c r="M11" i="16"/>
  <c r="M11" i="3"/>
  <c r="Z11" i="3"/>
  <c r="Z11" i="16"/>
  <c r="W11" i="13"/>
  <c r="V11" i="4"/>
  <c r="T11" i="4"/>
  <c r="Q11" i="6"/>
  <c r="R11" i="13"/>
  <c r="Q11" i="4"/>
  <c r="F20" i="6"/>
  <c r="J20" i="6" s="1"/>
  <c r="N20" i="6" s="1"/>
  <c r="R20" i="6" s="1"/>
  <c r="AC11" i="13"/>
  <c r="Z11" i="12"/>
  <c r="J100" i="6"/>
  <c r="K100" i="6" s="1"/>
  <c r="AB11" i="13"/>
  <c r="M11" i="13"/>
  <c r="M11" i="12"/>
  <c r="U38" i="4"/>
  <c r="BD19" i="4" s="1"/>
  <c r="AM14" i="11" s="1"/>
  <c r="AX19" i="4"/>
  <c r="T38" i="4"/>
  <c r="AN19" i="4" s="1"/>
  <c r="D17" i="11" s="1"/>
  <c r="U18" i="4"/>
  <c r="BD18" i="4" s="1"/>
  <c r="AM13" i="11" s="1"/>
  <c r="T18" i="4"/>
  <c r="AN18" i="4" s="1"/>
  <c r="D16" i="11" s="1"/>
  <c r="AX18" i="4"/>
  <c r="U54" i="13"/>
  <c r="BH18" i="13" s="1"/>
  <c r="AM16" i="11" s="1"/>
  <c r="AX18" i="13"/>
  <c r="T54" i="13"/>
  <c r="AN18" i="13" s="1"/>
  <c r="D19" i="11" s="1"/>
  <c r="Q39" i="3"/>
  <c r="AK13" i="3" s="1"/>
  <c r="D6" i="11" s="1"/>
  <c r="AU13" i="3"/>
  <c r="R6" i="11" s="1"/>
  <c r="Q55" i="3"/>
  <c r="AK15" i="3" s="1"/>
  <c r="D8" i="11" s="1"/>
  <c r="U50" i="6"/>
  <c r="BH18" i="6" s="1"/>
  <c r="AM7" i="11" s="1"/>
  <c r="T50" i="6"/>
  <c r="AX18" i="6"/>
  <c r="AX20" i="6"/>
  <c r="R12" i="11" s="1"/>
  <c r="T232" i="6"/>
  <c r="AN20" i="6" s="1"/>
  <c r="D12" i="11" s="1"/>
  <c r="U232" i="6"/>
  <c r="BH20" i="6" s="1"/>
  <c r="AM9" i="11" s="1"/>
  <c r="U24" i="13"/>
  <c r="BL16" i="13" s="1"/>
  <c r="AQ17" i="11" s="1"/>
  <c r="BB16" i="13"/>
  <c r="T24" i="13"/>
  <c r="AR16" i="13" s="1"/>
  <c r="H20" i="11" s="1"/>
  <c r="AX16" i="13"/>
  <c r="U18" i="13"/>
  <c r="BH16" i="13" s="1"/>
  <c r="AM17" i="11" s="1"/>
  <c r="T18" i="13"/>
  <c r="AN16" i="13" s="1"/>
  <c r="D20" i="11" s="1"/>
  <c r="AX16" i="12"/>
  <c r="U18" i="12"/>
  <c r="R22" i="11"/>
  <c r="T18" i="12"/>
  <c r="AN16" i="12" s="1"/>
  <c r="D22" i="11" s="1"/>
  <c r="U38" i="12"/>
  <c r="AX17" i="12"/>
  <c r="R21" i="11"/>
  <c r="T38" i="12"/>
  <c r="AN17" i="12" s="1"/>
  <c r="D21" i="11" s="1"/>
  <c r="I209" i="6"/>
  <c r="J209" i="6" s="1"/>
  <c r="K209" i="6" s="1"/>
  <c r="R204" i="6" s="1"/>
  <c r="U204" i="6" s="1"/>
  <c r="I179" i="6"/>
  <c r="J179" i="6" s="1"/>
  <c r="K179" i="6" s="1"/>
  <c r="R174" i="6" s="1"/>
  <c r="U174" i="6" s="1"/>
  <c r="I194" i="6"/>
  <c r="J194" i="6" s="1"/>
  <c r="K194" i="6" s="1"/>
  <c r="R189" i="6" s="1"/>
  <c r="AU14" i="3"/>
  <c r="R7" i="11" s="1"/>
  <c r="J108" i="6"/>
  <c r="N108" i="6" s="1"/>
  <c r="R108" i="6" s="1"/>
  <c r="AX21" i="6" s="1"/>
  <c r="R13" i="11" s="1"/>
  <c r="R205" i="6"/>
  <c r="F17" i="11"/>
  <c r="I180" i="6"/>
  <c r="I195" i="6"/>
  <c r="J195" i="6" s="1"/>
  <c r="K195" i="6" s="1"/>
  <c r="F187" i="6" s="1"/>
  <c r="J187" i="6" s="1"/>
  <c r="N187" i="6" s="1"/>
  <c r="R187" i="6" s="1"/>
  <c r="T187" i="6" s="1"/>
  <c r="I210" i="6"/>
  <c r="J210" i="6" s="1"/>
  <c r="K210" i="6" s="1"/>
  <c r="F202" i="6" s="1"/>
  <c r="J202" i="6" s="1"/>
  <c r="N202" i="6" s="1"/>
  <c r="R202" i="6" s="1"/>
  <c r="U202" i="6" s="1"/>
  <c r="J225" i="6"/>
  <c r="K225" i="6" s="1"/>
  <c r="J163" i="6"/>
  <c r="Y11" i="12"/>
  <c r="Y11" i="4"/>
  <c r="P11" i="13"/>
  <c r="P11" i="6"/>
  <c r="L11" i="13"/>
  <c r="L11" i="6"/>
  <c r="Z11" i="6"/>
  <c r="U11" i="13"/>
  <c r="T18" i="6"/>
  <c r="AN16" i="6" s="1"/>
  <c r="AX16" i="6"/>
  <c r="U18" i="6"/>
  <c r="U200" i="6"/>
  <c r="T200" i="6"/>
  <c r="T205" i="6"/>
  <c r="U205" i="6"/>
  <c r="AX22" i="6"/>
  <c r="T123" i="6"/>
  <c r="AN22" i="6" s="1"/>
  <c r="D14" i="11" s="1"/>
  <c r="U123" i="6"/>
  <c r="BH22" i="6" s="1"/>
  <c r="AM11" i="11" s="1"/>
  <c r="U144" i="6"/>
  <c r="BL23" i="6" s="1"/>
  <c r="AQ12" i="11" s="1"/>
  <c r="T144" i="6"/>
  <c r="AR23" i="6" s="1"/>
  <c r="H15" i="11" s="1"/>
  <c r="BB23" i="6"/>
  <c r="AX23" i="6"/>
  <c r="U138" i="6"/>
  <c r="BH23" i="6" s="1"/>
  <c r="AM12" i="11" s="1"/>
  <c r="T138" i="6"/>
  <c r="AN23" i="6" s="1"/>
  <c r="D15" i="11" s="1"/>
  <c r="T170" i="6"/>
  <c r="U170" i="6"/>
  <c r="U31" i="6"/>
  <c r="BH17" i="6" s="1"/>
  <c r="AM6" i="11" s="1"/>
  <c r="AX17" i="6"/>
  <c r="R9" i="11" s="1"/>
  <c r="T31" i="6"/>
  <c r="AN17" i="6" s="1"/>
  <c r="D9" i="11" s="1"/>
  <c r="AX19" i="6"/>
  <c r="U68" i="6"/>
  <c r="BH19" i="6" s="1"/>
  <c r="AM8" i="11" s="1"/>
  <c r="T77" i="6"/>
  <c r="AR19" i="6" s="1"/>
  <c r="H11" i="11" s="1"/>
  <c r="T68" i="6"/>
  <c r="AN19" i="6" s="1"/>
  <c r="D11" i="11" s="1"/>
  <c r="N24" i="6"/>
  <c r="T206" i="6"/>
  <c r="U206" i="6"/>
  <c r="T185" i="6"/>
  <c r="U185" i="6"/>
  <c r="J171" i="6"/>
  <c r="N171" i="6" s="1"/>
  <c r="J139" i="6"/>
  <c r="N139" i="6" s="1"/>
  <c r="R143" i="6" s="1"/>
  <c r="BB17" i="13"/>
  <c r="T42" i="13"/>
  <c r="AR17" i="13" s="1"/>
  <c r="H18" i="11" s="1"/>
  <c r="U42" i="13"/>
  <c r="BL17" i="13" s="1"/>
  <c r="AQ15" i="11" s="1"/>
  <c r="AO14" i="11"/>
  <c r="U63" i="13"/>
  <c r="BL18" i="13" s="1"/>
  <c r="AQ16" i="11" s="1"/>
  <c r="BB18" i="13"/>
  <c r="T63" i="13"/>
  <c r="AR18" i="13" s="1"/>
  <c r="H19" i="11" s="1"/>
  <c r="U176" i="6"/>
  <c r="T176" i="6"/>
  <c r="V21" i="11"/>
  <c r="U49" i="12"/>
  <c r="BB17" i="12"/>
  <c r="T49" i="12"/>
  <c r="AR17" i="12" s="1"/>
  <c r="H21" i="11" s="1"/>
  <c r="T58" i="6"/>
  <c r="AR18" i="6" s="1"/>
  <c r="H10" i="11" s="1"/>
  <c r="U58" i="6"/>
  <c r="BL18" i="6" s="1"/>
  <c r="AQ7" i="11" s="1"/>
  <c r="BB18" i="6"/>
  <c r="BB22" i="6"/>
  <c r="U129" i="6"/>
  <c r="BL22" i="6" s="1"/>
  <c r="AQ11" i="11" s="1"/>
  <c r="T129" i="6"/>
  <c r="AR22" i="6" s="1"/>
  <c r="H14" i="11" s="1"/>
  <c r="U26" i="4"/>
  <c r="BH18" i="4" s="1"/>
  <c r="AQ13" i="11" s="1"/>
  <c r="BB18" i="4"/>
  <c r="T26" i="4"/>
  <c r="AR18" i="4" s="1"/>
  <c r="H16" i="11" s="1"/>
  <c r="BB17" i="6"/>
  <c r="U40" i="6"/>
  <c r="BL17" i="6" s="1"/>
  <c r="AQ6" i="11" s="1"/>
  <c r="T40" i="6"/>
  <c r="AR17" i="6" s="1"/>
  <c r="H9" i="11" s="1"/>
  <c r="U114" i="6"/>
  <c r="BL21" i="6" s="1"/>
  <c r="AQ10" i="11" s="1"/>
  <c r="BB21" i="6"/>
  <c r="T46" i="4"/>
  <c r="AR19" i="4" s="1"/>
  <c r="H17" i="11" s="1"/>
  <c r="U46" i="4"/>
  <c r="BH19" i="4" s="1"/>
  <c r="AQ14" i="11" s="1"/>
  <c r="BB19" i="4"/>
  <c r="J63" i="13"/>
  <c r="T191" i="6"/>
  <c r="U238" i="6"/>
  <c r="BL20" i="6" s="1"/>
  <c r="AQ9" i="11" s="1"/>
  <c r="V22" i="11"/>
  <c r="T29" i="12"/>
  <c r="AR16" i="12" s="1"/>
  <c r="H22" i="11" s="1"/>
  <c r="AU15" i="3"/>
  <c r="R8" i="11" s="1"/>
  <c r="L11" i="12"/>
  <c r="J51" i="12" s="1"/>
  <c r="K51" i="12" s="1"/>
  <c r="L11" i="4"/>
  <c r="R44" i="4" s="1"/>
  <c r="BA18" i="6" l="1"/>
  <c r="U10" i="11" s="1"/>
  <c r="AN18" i="6"/>
  <c r="D10" i="11" s="1"/>
  <c r="K62" i="3"/>
  <c r="O58" i="3" s="1"/>
  <c r="AX15" i="3" s="1"/>
  <c r="U8" i="11" s="1"/>
  <c r="K60" i="3"/>
  <c r="O60" i="3" s="1"/>
  <c r="K46" i="3"/>
  <c r="O42" i="3" s="1"/>
  <c r="Q42" i="3" s="1"/>
  <c r="K44" i="3"/>
  <c r="O44" i="3" s="1"/>
  <c r="K28" i="3"/>
  <c r="O21" i="3" s="1"/>
  <c r="K26" i="3"/>
  <c r="O26" i="3" s="1"/>
  <c r="J46" i="3"/>
  <c r="U53" i="6"/>
  <c r="BK18" i="6" s="1"/>
  <c r="AP7" i="11" s="1"/>
  <c r="D41" i="3"/>
  <c r="G41" i="3" s="1"/>
  <c r="K41" i="3" s="1"/>
  <c r="O41" i="3" s="1"/>
  <c r="AV13" i="3" s="1"/>
  <c r="BR2" i="2" s="1"/>
  <c r="F40" i="12"/>
  <c r="J40" i="12" s="1"/>
  <c r="N40" i="12" s="1"/>
  <c r="R40" i="12" s="1"/>
  <c r="F20" i="12"/>
  <c r="J20" i="12" s="1"/>
  <c r="N20" i="12" s="1"/>
  <c r="R20" i="12" s="1"/>
  <c r="F234" i="6"/>
  <c r="J234" i="6" s="1"/>
  <c r="N234" i="6" s="1"/>
  <c r="R234" i="6" s="1"/>
  <c r="U234" i="6" s="1"/>
  <c r="BI20" i="6" s="1"/>
  <c r="AN9" i="11" s="1"/>
  <c r="D20" i="16"/>
  <c r="G20" i="16" s="1"/>
  <c r="K20" i="16" s="1"/>
  <c r="O20" i="16" s="1"/>
  <c r="R20" i="16" s="1"/>
  <c r="R36" i="6"/>
  <c r="R37" i="6" s="1"/>
  <c r="R56" i="6"/>
  <c r="N28" i="12"/>
  <c r="N48" i="12"/>
  <c r="R48" i="12" s="1"/>
  <c r="D20" i="3"/>
  <c r="G20" i="3" s="1"/>
  <c r="K20" i="3" s="1"/>
  <c r="O20" i="3" s="1"/>
  <c r="BB20" i="6"/>
  <c r="V12" i="11" s="1"/>
  <c r="L30" i="17"/>
  <c r="O22" i="3"/>
  <c r="J30" i="3"/>
  <c r="J47" i="3"/>
  <c r="J28" i="3"/>
  <c r="R20" i="11"/>
  <c r="V20" i="11"/>
  <c r="U108" i="6"/>
  <c r="BH21" i="6" s="1"/>
  <c r="AM10" i="11" s="1"/>
  <c r="T108" i="6"/>
  <c r="AN21" i="6" s="1"/>
  <c r="D13" i="11" s="1"/>
  <c r="T114" i="6"/>
  <c r="AR21" i="6" s="1"/>
  <c r="H13" i="11" s="1"/>
  <c r="V13" i="11"/>
  <c r="V9" i="11"/>
  <c r="V18" i="11"/>
  <c r="AQ19" i="11"/>
  <c r="F70" i="6"/>
  <c r="J70" i="6" s="1"/>
  <c r="N70" i="6" s="1"/>
  <c r="R70" i="6" s="1"/>
  <c r="F140" i="6"/>
  <c r="J140" i="6" s="1"/>
  <c r="N140" i="6" s="1"/>
  <c r="R140" i="6" s="1"/>
  <c r="AY23" i="6" s="1"/>
  <c r="F20" i="4"/>
  <c r="J20" i="4" s="1"/>
  <c r="N20" i="4" s="1"/>
  <c r="R20" i="4" s="1"/>
  <c r="U20" i="4" s="1"/>
  <c r="BE18" i="4" s="1"/>
  <c r="AN13" i="11" s="1"/>
  <c r="F40" i="13"/>
  <c r="J40" i="13" s="1"/>
  <c r="N40" i="13" s="1"/>
  <c r="F22" i="13"/>
  <c r="J22" i="13" s="1"/>
  <c r="N22" i="13" s="1"/>
  <c r="R23" i="13" s="1"/>
  <c r="J241" i="6"/>
  <c r="J148" i="6"/>
  <c r="K163" i="6" s="1"/>
  <c r="F20" i="13"/>
  <c r="J20" i="13" s="1"/>
  <c r="N20" i="13" s="1"/>
  <c r="R20" i="13" s="1"/>
  <c r="AY16" i="13" s="1"/>
  <c r="F56" i="13"/>
  <c r="J56" i="13" s="1"/>
  <c r="N56" i="13" s="1"/>
  <c r="R56" i="13" s="1"/>
  <c r="U56" i="13" s="1"/>
  <c r="BI18" i="13" s="1"/>
  <c r="AN16" i="11" s="1"/>
  <c r="F38" i="13"/>
  <c r="J38" i="13" s="1"/>
  <c r="N38" i="13" s="1"/>
  <c r="R38" i="13" s="1"/>
  <c r="U38" i="13" s="1"/>
  <c r="BI17" i="13" s="1"/>
  <c r="AN15" i="11" s="1"/>
  <c r="D57" i="3"/>
  <c r="G57" i="3" s="1"/>
  <c r="K57" i="3" s="1"/>
  <c r="O57" i="3" s="1"/>
  <c r="F52" i="6"/>
  <c r="J52" i="6" s="1"/>
  <c r="N52" i="6" s="1"/>
  <c r="R52" i="6" s="1"/>
  <c r="F125" i="6"/>
  <c r="J125" i="6" s="1"/>
  <c r="N125" i="6" s="1"/>
  <c r="R125" i="6" s="1"/>
  <c r="F40" i="4"/>
  <c r="J40" i="4" s="1"/>
  <c r="N40" i="4" s="1"/>
  <c r="R40" i="4" s="1"/>
  <c r="T40" i="4" s="1"/>
  <c r="AO19" i="4" s="1"/>
  <c r="E17" i="11" s="1"/>
  <c r="D40" i="16"/>
  <c r="G40" i="16" s="1"/>
  <c r="K40" i="16" s="1"/>
  <c r="O40" i="16" s="1"/>
  <c r="R40" i="16" s="1"/>
  <c r="F58" i="13"/>
  <c r="J58" i="13" s="1"/>
  <c r="N58" i="13" s="1"/>
  <c r="R41" i="4"/>
  <c r="AZ19" i="4" s="1"/>
  <c r="R43" i="4"/>
  <c r="R23" i="4"/>
  <c r="R73" i="6"/>
  <c r="R142" i="6"/>
  <c r="R127" i="6"/>
  <c r="J61" i="6"/>
  <c r="J147" i="6"/>
  <c r="J62" i="6"/>
  <c r="T20" i="6"/>
  <c r="AO16" i="6" s="1"/>
  <c r="U20" i="6"/>
  <c r="AY16" i="6"/>
  <c r="R17" i="11"/>
  <c r="T204" i="6"/>
  <c r="R175" i="6"/>
  <c r="T175" i="6" s="1"/>
  <c r="R190" i="6"/>
  <c r="R192" i="6" s="1"/>
  <c r="AU17" i="13"/>
  <c r="K18" i="11" s="1"/>
  <c r="AM18" i="11"/>
  <c r="BH17" i="12"/>
  <c r="V10" i="11"/>
  <c r="J180" i="6"/>
  <c r="K180" i="6"/>
  <c r="F172" i="6" s="1"/>
  <c r="J172" i="6" s="1"/>
  <c r="N172" i="6" s="1"/>
  <c r="R172" i="6" s="1"/>
  <c r="U172" i="6" s="1"/>
  <c r="R16" i="11"/>
  <c r="V17" i="11"/>
  <c r="V16" i="11"/>
  <c r="V14" i="11"/>
  <c r="V19" i="11"/>
  <c r="R14" i="11"/>
  <c r="BH16" i="12"/>
  <c r="AM19" i="11"/>
  <c r="R10" i="11"/>
  <c r="R19" i="11"/>
  <c r="U187" i="6"/>
  <c r="R207" i="6"/>
  <c r="T202" i="6"/>
  <c r="R71" i="6"/>
  <c r="J44" i="6"/>
  <c r="F33" i="6"/>
  <c r="J33" i="6" s="1"/>
  <c r="N33" i="6" s="1"/>
  <c r="R33" i="6" s="1"/>
  <c r="R237" i="6"/>
  <c r="U237" i="6" s="1"/>
  <c r="BA23" i="6"/>
  <c r="U143" i="6"/>
  <c r="BK23" i="6" s="1"/>
  <c r="AP12" i="11" s="1"/>
  <c r="T143" i="6"/>
  <c r="AQ23" i="6" s="1"/>
  <c r="G15" i="11" s="1"/>
  <c r="R15" i="11"/>
  <c r="R11" i="11"/>
  <c r="V15" i="11"/>
  <c r="BA15" i="3"/>
  <c r="AS15" i="3"/>
  <c r="L8" i="11" s="1"/>
  <c r="BB15" i="3"/>
  <c r="AR15" i="3"/>
  <c r="K8" i="11" s="1"/>
  <c r="AQ15" i="3"/>
  <c r="J8" i="11" s="1"/>
  <c r="BC15" i="3"/>
  <c r="AR13" i="3"/>
  <c r="K6" i="11" s="1"/>
  <c r="BA13" i="3"/>
  <c r="AQ13" i="3"/>
  <c r="J6" i="11" s="1"/>
  <c r="BD13" i="3"/>
  <c r="AT13" i="3"/>
  <c r="M6" i="11" s="1"/>
  <c r="BC13" i="3"/>
  <c r="AS13" i="3"/>
  <c r="L6" i="11" s="1"/>
  <c r="BB13" i="3"/>
  <c r="J80" i="6"/>
  <c r="J132" i="6"/>
  <c r="BE22" i="6" s="1"/>
  <c r="BA14" i="3"/>
  <c r="AQ14" i="3"/>
  <c r="J7" i="11" s="1"/>
  <c r="J133" i="6"/>
  <c r="J81" i="6"/>
  <c r="BL17" i="12"/>
  <c r="AQ18" i="11"/>
  <c r="F110" i="6"/>
  <c r="J110" i="6" s="1"/>
  <c r="N110" i="6" s="1"/>
  <c r="R110" i="6" s="1"/>
  <c r="J118" i="6"/>
  <c r="U207" i="6"/>
  <c r="R38" i="6"/>
  <c r="R39" i="6" s="1"/>
  <c r="U39" i="6" s="1"/>
  <c r="J43" i="6"/>
  <c r="J117" i="6"/>
  <c r="AT16" i="12"/>
  <c r="J22" i="11" s="1"/>
  <c r="AT17" i="12"/>
  <c r="J21" i="11" s="1"/>
  <c r="AT17" i="13"/>
  <c r="J18" i="11" s="1"/>
  <c r="R24" i="4"/>
  <c r="T174" i="6"/>
  <c r="J224" i="6"/>
  <c r="K224" i="6" s="1"/>
  <c r="J162" i="6"/>
  <c r="K162" i="6" s="1"/>
  <c r="J26" i="6"/>
  <c r="K26" i="6" s="1"/>
  <c r="R24" i="6" s="1"/>
  <c r="J99" i="6"/>
  <c r="K99" i="6" s="1"/>
  <c r="AX13" i="3"/>
  <c r="U6" i="11" s="1"/>
  <c r="AU18" i="13"/>
  <c r="K19" i="11" s="1"/>
  <c r="AT18" i="13"/>
  <c r="J19" i="11" s="1"/>
  <c r="AW18" i="13"/>
  <c r="M19" i="11" s="1"/>
  <c r="AV18" i="13"/>
  <c r="L19" i="11" s="1"/>
  <c r="U189" i="6"/>
  <c r="T189" i="6"/>
  <c r="R76" i="6" l="1"/>
  <c r="R78" i="6" s="1"/>
  <c r="S6" i="11"/>
  <c r="T76" i="6"/>
  <c r="AQ19" i="6" s="1"/>
  <c r="G11" i="11" s="1"/>
  <c r="T52" i="6"/>
  <c r="R41" i="6"/>
  <c r="T34" i="6"/>
  <c r="AQ17" i="6" s="1"/>
  <c r="G9" i="11" s="1"/>
  <c r="U34" i="6"/>
  <c r="BK17" i="6" s="1"/>
  <c r="AP6" i="11" s="1"/>
  <c r="Q44" i="3"/>
  <c r="AO13" i="3" s="1"/>
  <c r="H6" i="11" s="1"/>
  <c r="AY13" i="3"/>
  <c r="BU2" i="2" s="1"/>
  <c r="AY15" i="3"/>
  <c r="V8" i="11" s="1"/>
  <c r="Q60" i="3"/>
  <c r="AO15" i="3" s="1"/>
  <c r="H8" i="11" s="1"/>
  <c r="AY14" i="3"/>
  <c r="V7" i="11" s="1"/>
  <c r="Q26" i="3"/>
  <c r="AO14" i="3" s="1"/>
  <c r="H7" i="11" s="1"/>
  <c r="O25" i="3"/>
  <c r="AX14" i="3" s="1"/>
  <c r="U7" i="11" s="1"/>
  <c r="S20" i="11"/>
  <c r="T20" i="13"/>
  <c r="AO16" i="13" s="1"/>
  <c r="E20" i="11" s="1"/>
  <c r="U20" i="13"/>
  <c r="BI16" i="13" s="1"/>
  <c r="AN17" i="11" s="1"/>
  <c r="U52" i="6"/>
  <c r="BI18" i="6" s="1"/>
  <c r="AN7" i="11" s="1"/>
  <c r="T56" i="13"/>
  <c r="AO18" i="13" s="1"/>
  <c r="E19" i="11" s="1"/>
  <c r="AY17" i="13"/>
  <c r="AY18" i="4"/>
  <c r="T38" i="13"/>
  <c r="AO17" i="13" s="1"/>
  <c r="E18" i="11" s="1"/>
  <c r="AY18" i="13"/>
  <c r="U40" i="4"/>
  <c r="BE19" i="4" s="1"/>
  <c r="AN14" i="11" s="1"/>
  <c r="T20" i="4"/>
  <c r="AO18" i="4" s="1"/>
  <c r="E16" i="11" s="1"/>
  <c r="AY18" i="6"/>
  <c r="O45" i="3"/>
  <c r="BE13" i="3" s="1"/>
  <c r="Q41" i="3"/>
  <c r="AL13" i="3" s="1"/>
  <c r="E6" i="11" s="1"/>
  <c r="Q20" i="3"/>
  <c r="AL14" i="3" s="1"/>
  <c r="E7" i="11" s="1"/>
  <c r="AV14" i="3"/>
  <c r="S7" i="11" s="1"/>
  <c r="Q57" i="3"/>
  <c r="AL15" i="3" s="1"/>
  <c r="E8" i="11" s="1"/>
  <c r="AV15" i="3"/>
  <c r="S8" i="11" s="1"/>
  <c r="AV14" i="16"/>
  <c r="Q40" i="16"/>
  <c r="O45" i="16"/>
  <c r="AV13" i="16"/>
  <c r="Q20" i="16"/>
  <c r="O27" i="16"/>
  <c r="T140" i="6"/>
  <c r="AO23" i="6" s="1"/>
  <c r="E15" i="11" s="1"/>
  <c r="U140" i="6"/>
  <c r="BI23" i="6" s="1"/>
  <c r="AN12" i="11" s="1"/>
  <c r="AY19" i="4"/>
  <c r="T17" i="11"/>
  <c r="R45" i="4"/>
  <c r="R47" i="4" s="1"/>
  <c r="AZ19" i="6"/>
  <c r="R62" i="13"/>
  <c r="R64" i="13" s="1"/>
  <c r="BS18" i="13" s="1"/>
  <c r="AZ22" i="6"/>
  <c r="U127" i="6"/>
  <c r="BJ22" i="6" s="1"/>
  <c r="AO11" i="11" s="1"/>
  <c r="T127" i="6"/>
  <c r="AP22" i="6" s="1"/>
  <c r="F14" i="11" s="1"/>
  <c r="AZ23" i="6"/>
  <c r="U142" i="6"/>
  <c r="BJ23" i="6" s="1"/>
  <c r="AO12" i="11" s="1"/>
  <c r="R145" i="6"/>
  <c r="T142" i="6"/>
  <c r="AP23" i="6" s="1"/>
  <c r="F15" i="11" s="1"/>
  <c r="R128" i="6"/>
  <c r="BA22" i="6" s="1"/>
  <c r="U48" i="12"/>
  <c r="BK17" i="12" s="1"/>
  <c r="BA17" i="12"/>
  <c r="T48" i="12"/>
  <c r="AQ17" i="12" s="1"/>
  <c r="G21" i="11" s="1"/>
  <c r="U21" i="11"/>
  <c r="R41" i="13"/>
  <c r="T41" i="13" s="1"/>
  <c r="AY20" i="6"/>
  <c r="S12" i="11" s="1"/>
  <c r="T207" i="6"/>
  <c r="U175" i="6"/>
  <c r="U177" i="6" s="1"/>
  <c r="T234" i="6"/>
  <c r="AO20" i="6" s="1"/>
  <c r="E12" i="11" s="1"/>
  <c r="R177" i="6"/>
  <c r="U190" i="6"/>
  <c r="U192" i="6" s="1"/>
  <c r="T190" i="6"/>
  <c r="T192" i="6" s="1"/>
  <c r="AV17" i="13"/>
  <c r="L18" i="11" s="1"/>
  <c r="U239" i="6"/>
  <c r="T172" i="6"/>
  <c r="T177" i="6" s="1"/>
  <c r="S21" i="11"/>
  <c r="T40" i="12"/>
  <c r="AO17" i="12" s="1"/>
  <c r="E21" i="11" s="1"/>
  <c r="AY17" i="12"/>
  <c r="U40" i="12"/>
  <c r="R50" i="12"/>
  <c r="AY16" i="12"/>
  <c r="U20" i="12"/>
  <c r="S22" i="11"/>
  <c r="T20" i="12"/>
  <c r="AO16" i="12" s="1"/>
  <c r="E22" i="11" s="1"/>
  <c r="BJ20" i="6"/>
  <c r="AO9" i="11" s="1"/>
  <c r="AZ20" i="6"/>
  <c r="T12" i="11" s="1"/>
  <c r="T237" i="6"/>
  <c r="R54" i="6"/>
  <c r="R57" i="6" s="1"/>
  <c r="R59" i="6" s="1"/>
  <c r="T33" i="6"/>
  <c r="AO17" i="6" s="1"/>
  <c r="E9" i="11" s="1"/>
  <c r="AY17" i="6"/>
  <c r="U33" i="6"/>
  <c r="BI17" i="6" s="1"/>
  <c r="AN6" i="11" s="1"/>
  <c r="BA16" i="13"/>
  <c r="T23" i="13"/>
  <c r="U23" i="13"/>
  <c r="R25" i="13"/>
  <c r="BS16" i="13" s="1"/>
  <c r="R25" i="4"/>
  <c r="BA18" i="4" s="1"/>
  <c r="R239" i="6"/>
  <c r="BS20" i="6" s="1"/>
  <c r="U15" i="11"/>
  <c r="O61" i="3"/>
  <c r="Q58" i="3"/>
  <c r="AU22" i="6"/>
  <c r="K14" i="11" s="1"/>
  <c r="BF22" i="6"/>
  <c r="BO22" i="6"/>
  <c r="AV22" i="6"/>
  <c r="L14" i="11" s="1"/>
  <c r="BN22" i="6"/>
  <c r="BQ22" i="6"/>
  <c r="AT22" i="6"/>
  <c r="J14" i="11" s="1"/>
  <c r="AW22" i="6"/>
  <c r="M14" i="11" s="1"/>
  <c r="BD22" i="6"/>
  <c r="BG22" i="6"/>
  <c r="R28" i="12"/>
  <c r="BP22" i="6"/>
  <c r="AY21" i="6"/>
  <c r="U110" i="6"/>
  <c r="BI21" i="6" s="1"/>
  <c r="AN10" i="11" s="1"/>
  <c r="T110" i="6"/>
  <c r="AO21" i="6" s="1"/>
  <c r="E13" i="11" s="1"/>
  <c r="AY19" i="6"/>
  <c r="U70" i="6"/>
  <c r="T70" i="6"/>
  <c r="AY22" i="6"/>
  <c r="U125" i="6"/>
  <c r="T125" i="6"/>
  <c r="S15" i="11"/>
  <c r="R112" i="6"/>
  <c r="R113" i="6"/>
  <c r="BP21" i="6"/>
  <c r="BF21" i="6"/>
  <c r="AU21" i="6"/>
  <c r="K13" i="11" s="1"/>
  <c r="BN21" i="6"/>
  <c r="BD21" i="6"/>
  <c r="AT21" i="6"/>
  <c r="J13" i="11" s="1"/>
  <c r="BO21" i="6"/>
  <c r="BE21" i="6"/>
  <c r="AV21" i="6"/>
  <c r="L13" i="11" s="1"/>
  <c r="AZ16" i="6"/>
  <c r="U24" i="6"/>
  <c r="U25" i="6" s="1"/>
  <c r="T24" i="6"/>
  <c r="AQ16" i="6" s="1"/>
  <c r="R25" i="6"/>
  <c r="BC16" i="6" s="1"/>
  <c r="AN13" i="3"/>
  <c r="G6" i="11" s="1"/>
  <c r="BA19" i="6" l="1"/>
  <c r="U11" i="11" s="1"/>
  <c r="U76" i="6"/>
  <c r="BK19" i="6" s="1"/>
  <c r="AP8" i="11" s="1"/>
  <c r="F12" i="11"/>
  <c r="AQ20" i="6"/>
  <c r="G12" i="11" s="1"/>
  <c r="AO18" i="6"/>
  <c r="E10" i="11" s="1"/>
  <c r="O27" i="3"/>
  <c r="AZ14" i="3" s="1"/>
  <c r="W7" i="11" s="1"/>
  <c r="V6" i="11"/>
  <c r="Q25" i="3"/>
  <c r="Q27" i="3" s="1"/>
  <c r="AP14" i="3" s="1"/>
  <c r="I7" i="11" s="1"/>
  <c r="BE14" i="16"/>
  <c r="R45" i="16"/>
  <c r="S16" i="11"/>
  <c r="S19" i="11"/>
  <c r="S23" i="11"/>
  <c r="S24" i="11"/>
  <c r="BE13" i="16"/>
  <c r="R27" i="16"/>
  <c r="T11" i="11"/>
  <c r="T15" i="11"/>
  <c r="Q45" i="3"/>
  <c r="AP13" i="3" s="1"/>
  <c r="I6" i="11" s="1"/>
  <c r="T43" i="13"/>
  <c r="AS17" i="13" s="1"/>
  <c r="I18" i="11" s="1"/>
  <c r="S13" i="11"/>
  <c r="S9" i="11"/>
  <c r="BS17" i="12"/>
  <c r="BT17" i="12" s="1"/>
  <c r="BO21" i="11" s="1"/>
  <c r="BP21" i="11" s="1"/>
  <c r="S18" i="11"/>
  <c r="S17" i="11"/>
  <c r="U14" i="11"/>
  <c r="U22" i="11"/>
  <c r="S10" i="11"/>
  <c r="BM20" i="6"/>
  <c r="AR9" i="11" s="1"/>
  <c r="BR20" i="6"/>
  <c r="BC23" i="6"/>
  <c r="BS23" i="6"/>
  <c r="BT23" i="6" s="1"/>
  <c r="BO15" i="11" s="1"/>
  <c r="BP15" i="11" s="1"/>
  <c r="BK19" i="4"/>
  <c r="BL19" i="4" s="1"/>
  <c r="BO17" i="11" s="1"/>
  <c r="BP17" i="11" s="1"/>
  <c r="AZ13" i="3"/>
  <c r="BV2" i="2" s="1"/>
  <c r="Q61" i="3"/>
  <c r="AP15" i="3" s="1"/>
  <c r="I8" i="11" s="1"/>
  <c r="AZ14" i="16"/>
  <c r="AL14" i="16"/>
  <c r="E24" i="11" s="1"/>
  <c r="Q45" i="16"/>
  <c r="AP14" i="16" s="1"/>
  <c r="I24" i="11" s="1"/>
  <c r="AZ13" i="16"/>
  <c r="AL13" i="16"/>
  <c r="E23" i="11" s="1"/>
  <c r="Q27" i="16"/>
  <c r="AP13" i="16" s="1"/>
  <c r="I23" i="11" s="1"/>
  <c r="BA19" i="4"/>
  <c r="U45" i="4"/>
  <c r="U47" i="4" s="1"/>
  <c r="BJ19" i="4" s="1"/>
  <c r="T45" i="4"/>
  <c r="T47" i="4" s="1"/>
  <c r="AS19" i="4" s="1"/>
  <c r="I17" i="11" s="1"/>
  <c r="U50" i="12"/>
  <c r="BR17" i="12" s="1"/>
  <c r="AP18" i="11"/>
  <c r="BA18" i="13"/>
  <c r="BJ19" i="6"/>
  <c r="AO8" i="11" s="1"/>
  <c r="AZ17" i="6"/>
  <c r="T39" i="6"/>
  <c r="AP17" i="6" s="1"/>
  <c r="F9" i="11" s="1"/>
  <c r="AP19" i="6"/>
  <c r="F11" i="11" s="1"/>
  <c r="BS17" i="6"/>
  <c r="U62" i="13"/>
  <c r="U64" i="13" s="1"/>
  <c r="BR18" i="13" s="1"/>
  <c r="U145" i="6"/>
  <c r="T62" i="13"/>
  <c r="AQ18" i="13" s="1"/>
  <c r="G19" i="11" s="1"/>
  <c r="R130" i="6"/>
  <c r="T128" i="6"/>
  <c r="AQ22" i="6" s="1"/>
  <c r="G14" i="11" s="1"/>
  <c r="U128" i="6"/>
  <c r="BK22" i="6" s="1"/>
  <c r="AP11" i="11" s="1"/>
  <c r="T145" i="6"/>
  <c r="AS23" i="6" s="1"/>
  <c r="I15" i="11" s="1"/>
  <c r="T14" i="11"/>
  <c r="AQ17" i="13"/>
  <c r="G18" i="11" s="1"/>
  <c r="BA17" i="13"/>
  <c r="R43" i="13"/>
  <c r="U41" i="13"/>
  <c r="BC17" i="12"/>
  <c r="U57" i="6"/>
  <c r="BJ18" i="6" s="1"/>
  <c r="AO7" i="11" s="1"/>
  <c r="W21" i="11"/>
  <c r="T239" i="6"/>
  <c r="AS20" i="6" s="1"/>
  <c r="I12" i="11" s="1"/>
  <c r="U16" i="11"/>
  <c r="S14" i="11"/>
  <c r="BA16" i="12"/>
  <c r="T28" i="12"/>
  <c r="AQ16" i="12" s="1"/>
  <c r="G22" i="11" s="1"/>
  <c r="T25" i="4"/>
  <c r="AQ18" i="4" s="1"/>
  <c r="G16" i="11" s="1"/>
  <c r="R27" i="4"/>
  <c r="T50" i="12"/>
  <c r="AS17" i="12" s="1"/>
  <c r="I21" i="11" s="1"/>
  <c r="BI16" i="12"/>
  <c r="AN19" i="11"/>
  <c r="BI17" i="12"/>
  <c r="AN18" i="11"/>
  <c r="T57" i="6"/>
  <c r="AZ18" i="6"/>
  <c r="U25" i="4"/>
  <c r="U27" i="4" s="1"/>
  <c r="BC19" i="4"/>
  <c r="BK16" i="13"/>
  <c r="AP17" i="11" s="1"/>
  <c r="U25" i="13"/>
  <c r="BR16" i="13" s="1"/>
  <c r="BC16" i="13"/>
  <c r="AQ16" i="13"/>
  <c r="G20" i="11" s="1"/>
  <c r="T25" i="13"/>
  <c r="AS16" i="13" s="1"/>
  <c r="I20" i="11" s="1"/>
  <c r="U20" i="11"/>
  <c r="BC20" i="6"/>
  <c r="W12" i="11" s="1"/>
  <c r="AZ15" i="3"/>
  <c r="W8" i="11" s="1"/>
  <c r="BE15" i="3"/>
  <c r="AN15" i="3"/>
  <c r="G8" i="11" s="1"/>
  <c r="R30" i="12"/>
  <c r="U28" i="12"/>
  <c r="BK16" i="12" s="1"/>
  <c r="AO19" i="6"/>
  <c r="E11" i="11" s="1"/>
  <c r="BI19" i="6"/>
  <c r="AN8" i="11" s="1"/>
  <c r="BI22" i="6"/>
  <c r="AN11" i="11" s="1"/>
  <c r="AO22" i="6"/>
  <c r="E14" i="11" s="1"/>
  <c r="S11" i="11"/>
  <c r="U113" i="6"/>
  <c r="BK21" i="6" s="1"/>
  <c r="AP10" i="11" s="1"/>
  <c r="T113" i="6"/>
  <c r="AQ21" i="6" s="1"/>
  <c r="G13" i="11" s="1"/>
  <c r="BA21" i="6"/>
  <c r="BJ17" i="6"/>
  <c r="AO6" i="11" s="1"/>
  <c r="U41" i="6"/>
  <c r="BR17" i="6" s="1"/>
  <c r="AZ21" i="6"/>
  <c r="T112" i="6"/>
  <c r="U112" i="6"/>
  <c r="R115" i="6"/>
  <c r="BS21" i="6" s="1"/>
  <c r="T25" i="6"/>
  <c r="AS16" i="6" s="1"/>
  <c r="BG6" i="11"/>
  <c r="BF13" i="3"/>
  <c r="BO6" i="11" s="1"/>
  <c r="BP6" i="11" s="1"/>
  <c r="BC18" i="13"/>
  <c r="AN14" i="3" l="1"/>
  <c r="G7" i="11" s="1"/>
  <c r="F10" i="11"/>
  <c r="AQ18" i="6"/>
  <c r="G10" i="11" s="1"/>
  <c r="T59" i="6"/>
  <c r="AS18" i="6" s="1"/>
  <c r="I10" i="11" s="1"/>
  <c r="BE14" i="3"/>
  <c r="BG7" i="11" s="1"/>
  <c r="W6" i="11"/>
  <c r="U43" i="13"/>
  <c r="BR17" i="13" s="1"/>
  <c r="W24" i="11"/>
  <c r="W23" i="11"/>
  <c r="W15" i="11"/>
  <c r="T13" i="11"/>
  <c r="U13" i="11"/>
  <c r="BG21" i="11"/>
  <c r="U18" i="11"/>
  <c r="T9" i="11"/>
  <c r="BS16" i="12"/>
  <c r="BT16" i="12" s="1"/>
  <c r="BO22" i="11" s="1"/>
  <c r="BP22" i="11" s="1"/>
  <c r="BG17" i="11"/>
  <c r="BC18" i="6"/>
  <c r="BS18" i="6"/>
  <c r="BG10" i="11" s="1"/>
  <c r="BM23" i="6"/>
  <c r="AR12" i="11" s="1"/>
  <c r="BR23" i="6"/>
  <c r="BC22" i="6"/>
  <c r="BS22" i="6"/>
  <c r="BT22" i="6" s="1"/>
  <c r="BO14" i="11" s="1"/>
  <c r="BP14" i="11" s="1"/>
  <c r="U17" i="11"/>
  <c r="BC19" i="6"/>
  <c r="BS19" i="6"/>
  <c r="BG11" i="11" s="1"/>
  <c r="BI18" i="4"/>
  <c r="AR13" i="11" s="1"/>
  <c r="BJ18" i="4"/>
  <c r="BK18" i="4"/>
  <c r="BL18" i="4" s="1"/>
  <c r="BO16" i="11" s="1"/>
  <c r="BP16" i="11" s="1"/>
  <c r="BS17" i="13"/>
  <c r="BG18" i="11" s="1"/>
  <c r="AQ19" i="4"/>
  <c r="G17" i="11" s="1"/>
  <c r="BM17" i="12"/>
  <c r="BG19" i="4"/>
  <c r="AP14" i="11" s="1"/>
  <c r="AR18" i="11"/>
  <c r="BF13" i="16"/>
  <c r="BO23" i="11" s="1"/>
  <c r="BP23" i="11" s="1"/>
  <c r="BG23" i="11"/>
  <c r="BF14" i="16"/>
  <c r="BO24" i="11" s="1"/>
  <c r="BP24" i="11" s="1"/>
  <c r="BG24" i="11"/>
  <c r="T130" i="6"/>
  <c r="AS22" i="6" s="1"/>
  <c r="I14" i="11" s="1"/>
  <c r="T41" i="6"/>
  <c r="AS17" i="6" s="1"/>
  <c r="I9" i="11" s="1"/>
  <c r="BC17" i="6"/>
  <c r="U19" i="11"/>
  <c r="T78" i="6"/>
  <c r="AS19" i="6" s="1"/>
  <c r="I11" i="11" s="1"/>
  <c r="BK18" i="13"/>
  <c r="AP16" i="11" s="1"/>
  <c r="U78" i="6"/>
  <c r="T64" i="13"/>
  <c r="AS18" i="13" s="1"/>
  <c r="I19" i="11" s="1"/>
  <c r="U130" i="6"/>
  <c r="BG15" i="11"/>
  <c r="U59" i="6"/>
  <c r="BC17" i="13"/>
  <c r="BK17" i="13"/>
  <c r="AP15" i="11" s="1"/>
  <c r="T30" i="12"/>
  <c r="AS16" i="12" s="1"/>
  <c r="I22" i="11" s="1"/>
  <c r="T27" i="4"/>
  <c r="AS18" i="4" s="1"/>
  <c r="I16" i="11" s="1"/>
  <c r="W19" i="11"/>
  <c r="T10" i="11"/>
  <c r="W17" i="11"/>
  <c r="BC18" i="4"/>
  <c r="BG18" i="4"/>
  <c r="AP13" i="11" s="1"/>
  <c r="W22" i="11"/>
  <c r="BC16" i="12"/>
  <c r="AP19" i="11"/>
  <c r="BT16" i="13"/>
  <c r="BO20" i="11" s="1"/>
  <c r="BP20" i="11" s="1"/>
  <c r="BG20" i="11"/>
  <c r="BM16" i="13"/>
  <c r="AR17" i="11" s="1"/>
  <c r="W20" i="11"/>
  <c r="BI19" i="4"/>
  <c r="AR14" i="11" s="1"/>
  <c r="BG12" i="11"/>
  <c r="BT20" i="6"/>
  <c r="BO12" i="11" s="1"/>
  <c r="BP12" i="11" s="1"/>
  <c r="BG8" i="11"/>
  <c r="BF15" i="3"/>
  <c r="BO8" i="11" s="1"/>
  <c r="BP8" i="11" s="1"/>
  <c r="U30" i="12"/>
  <c r="BT18" i="13"/>
  <c r="BO19" i="11" s="1"/>
  <c r="BP19" i="11" s="1"/>
  <c r="BG19" i="11"/>
  <c r="BT17" i="6"/>
  <c r="BO9" i="11" s="1"/>
  <c r="BP9" i="11" s="1"/>
  <c r="BG9" i="11"/>
  <c r="U115" i="6"/>
  <c r="BR21" i="6" s="1"/>
  <c r="BJ21" i="6"/>
  <c r="AO10" i="11" s="1"/>
  <c r="AP21" i="6"/>
  <c r="F13" i="11" s="1"/>
  <c r="T115" i="6"/>
  <c r="AS21" i="6" s="1"/>
  <c r="I13" i="11" s="1"/>
  <c r="BC21" i="6"/>
  <c r="BM17" i="6"/>
  <c r="AR6" i="11" s="1"/>
  <c r="BM18" i="13"/>
  <c r="AR16" i="11" s="1"/>
  <c r="BF14" i="3" l="1"/>
  <c r="BO7" i="11" s="1"/>
  <c r="BP7" i="11" s="1"/>
  <c r="BM17" i="13"/>
  <c r="AR15" i="11" s="1"/>
  <c r="W10" i="11"/>
  <c r="W13" i="11"/>
  <c r="W18" i="11"/>
  <c r="W9" i="11"/>
  <c r="W11" i="11"/>
  <c r="W14" i="11"/>
  <c r="BT17" i="13"/>
  <c r="BO18" i="11" s="1"/>
  <c r="BP18" i="11" s="1"/>
  <c r="BG16" i="11"/>
  <c r="BM19" i="6"/>
  <c r="AR8" i="11" s="1"/>
  <c r="BR19" i="6"/>
  <c r="BM18" i="6"/>
  <c r="AR7" i="11" s="1"/>
  <c r="BR18" i="6"/>
  <c r="BM22" i="6"/>
  <c r="AR11" i="11" s="1"/>
  <c r="BR22" i="6"/>
  <c r="AR19" i="11"/>
  <c r="BR16" i="12"/>
  <c r="BG14" i="11"/>
  <c r="BT19" i="6"/>
  <c r="BO11" i="11" s="1"/>
  <c r="BP11" i="11" s="1"/>
  <c r="BG22" i="11"/>
  <c r="BT18" i="6"/>
  <c r="BO10" i="11" s="1"/>
  <c r="BP10" i="11" s="1"/>
  <c r="W16" i="11"/>
  <c r="BM16" i="12"/>
  <c r="BT21" i="6"/>
  <c r="BO13" i="11" s="1"/>
  <c r="BP13" i="11" s="1"/>
  <c r="BG13" i="11"/>
  <c r="BM21" i="6"/>
  <c r="AR10"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Emily Nishikawa</author>
  </authors>
  <commentList>
    <comment ref="N28" authorId="0" shapeId="0" xr:uid="{24D26775-164A-49C4-A65C-F67923354303}">
      <text>
        <r>
          <rPr>
            <b/>
            <sz val="9"/>
            <color indexed="81"/>
            <rFont val="Tahoma"/>
            <family val="2"/>
          </rPr>
          <t>Emily Nishikawa:</t>
        </r>
        <r>
          <rPr>
            <sz val="9"/>
            <color indexed="81"/>
            <rFont val="Tahoma"/>
            <family val="2"/>
          </rPr>
          <t xml:space="preserve">
The 0.0459487978366754 factor is related to concrete, transport, inorganic chemicals and other inputs not related to energy resources or direct emissions.</t>
        </r>
      </text>
    </comment>
    <comment ref="N48" authorId="0" shapeId="0" xr:uid="{FA032E0D-1455-4B06-8604-2C397234A501}">
      <text>
        <r>
          <rPr>
            <b/>
            <sz val="9"/>
            <color indexed="81"/>
            <rFont val="Tahoma"/>
            <family val="2"/>
          </rPr>
          <t>Emily Nishikawa:</t>
        </r>
        <r>
          <rPr>
            <sz val="9"/>
            <color indexed="81"/>
            <rFont val="Tahoma"/>
            <family val="2"/>
          </rPr>
          <t xml:space="preserve">
The 0.100882969486038 factor is related to concrete, transport, inorganic chemicals and other inputs not related to energy resources or direct emissions. The detailed calculation can be found in the documentation.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Emily Nishikawa</author>
  </authors>
  <commentList>
    <comment ref="W18" authorId="0" shapeId="0" xr:uid="{65366A83-2487-46B2-AA35-DED52E03FD19}">
      <text>
        <r>
          <rPr>
            <b/>
            <sz val="9"/>
            <color indexed="81"/>
            <rFont val="Tahoma"/>
            <family val="2"/>
          </rPr>
          <t>Emily Nishikawa:</t>
        </r>
        <r>
          <rPr>
            <sz val="9"/>
            <color indexed="81"/>
            <rFont val="Tahoma"/>
            <family val="2"/>
          </rPr>
          <t xml:space="preserve">
RoW
Absorption chiller</t>
        </r>
      </text>
    </comment>
  </commentList>
</comments>
</file>

<file path=xl/sharedStrings.xml><?xml version="1.0" encoding="utf-8"?>
<sst xmlns="http://schemas.openxmlformats.org/spreadsheetml/2006/main" count="2828" uniqueCount="678">
  <si>
    <t>Emission Factors</t>
  </si>
  <si>
    <t>Process Correlations</t>
  </si>
  <si>
    <t>Energy &amp; Unit Conversions</t>
  </si>
  <si>
    <t>Constants</t>
  </si>
  <si>
    <t>Electricity</t>
  </si>
  <si>
    <t>Renewable</t>
  </si>
  <si>
    <t>Natural gas</t>
  </si>
  <si>
    <t>Steam</t>
  </si>
  <si>
    <t>Natural gas industrial boiler</t>
  </si>
  <si>
    <t>Heat</t>
  </si>
  <si>
    <t>Natural gas industrial furnace</t>
  </si>
  <si>
    <t>Combined heat&amp;power</t>
  </si>
  <si>
    <t>Hydrogen</t>
  </si>
  <si>
    <t>Steam methane reforming</t>
  </si>
  <si>
    <t>Coal gasification</t>
  </si>
  <si>
    <t>CO2 Capture Process</t>
  </si>
  <si>
    <t>DAC</t>
  </si>
  <si>
    <t>For SOEC-CO -&gt; methane</t>
  </si>
  <si>
    <t>kg syngas/kg methane</t>
  </si>
  <si>
    <t>kg extra H2/kg CH4</t>
  </si>
  <si>
    <t>For PEM -&gt; Diesel</t>
  </si>
  <si>
    <t>Fischer-Tropsch diesel</t>
  </si>
  <si>
    <t>MJ/kg</t>
  </si>
  <si>
    <t>Parameter cellL28 of Energy Params</t>
  </si>
  <si>
    <t>kWh/MJ</t>
  </si>
  <si>
    <t>Electricity energy conversion</t>
  </si>
  <si>
    <t>MJ/kWh</t>
  </si>
  <si>
    <t>Item</t>
  </si>
  <si>
    <t>CO2 converted</t>
  </si>
  <si>
    <t>CO2 capture &amp; process</t>
  </si>
  <si>
    <t>Co-electrolysis</t>
  </si>
  <si>
    <t>Water evaporation</t>
  </si>
  <si>
    <t>Preheating feed</t>
  </si>
  <si>
    <t>Net</t>
  </si>
  <si>
    <t>Amount</t>
  </si>
  <si>
    <t>Unit</t>
  </si>
  <si>
    <t xml:space="preserve"> from Reference Case</t>
  </si>
  <si>
    <t>kg CO2/kg syngas</t>
  </si>
  <si>
    <t>kg CO2/kg CO2 captured</t>
  </si>
  <si>
    <t>kWh/kg Syngas</t>
  </si>
  <si>
    <t>kW/5000 kg Syngas/day</t>
  </si>
  <si>
    <t>In Intermediate Units</t>
  </si>
  <si>
    <t>kWh/kg syngas</t>
  </si>
  <si>
    <t>kWh</t>
  </si>
  <si>
    <t xml:space="preserve">Product: </t>
  </si>
  <si>
    <t xml:space="preserve"> </t>
  </si>
  <si>
    <t xml:space="preserve">Sub-pathway: </t>
  </si>
  <si>
    <t>Sub-pathways</t>
  </si>
  <si>
    <t>Products</t>
  </si>
  <si>
    <t>SOEC-CO</t>
  </si>
  <si>
    <t>Syngas</t>
  </si>
  <si>
    <t>Methane</t>
  </si>
  <si>
    <t>SOEC-EL</t>
  </si>
  <si>
    <t>Methanol</t>
  </si>
  <si>
    <t>PEM</t>
  </si>
  <si>
    <t>Diesel</t>
  </si>
  <si>
    <t>Active in the interface</t>
  </si>
  <si>
    <t>Active in Interface for this product</t>
  </si>
  <si>
    <t>Stage</t>
  </si>
  <si>
    <t>H2 Production</t>
  </si>
  <si>
    <t>CO2 Conversion</t>
  </si>
  <si>
    <t>CO2 Captured</t>
  </si>
  <si>
    <t>End Use</t>
  </si>
  <si>
    <t>Active</t>
  </si>
  <si>
    <t>Electricity intensity</t>
  </si>
  <si>
    <t>Heat intensity</t>
  </si>
  <si>
    <t>Steam intensity</t>
  </si>
  <si>
    <t>Hydrogen intensity</t>
  </si>
  <si>
    <t>Total</t>
  </si>
  <si>
    <t>Electrolysis for extra H2</t>
  </si>
  <si>
    <t>kWh/kg H2</t>
  </si>
  <si>
    <t>Hide this row</t>
  </si>
  <si>
    <t>Methanation</t>
  </si>
  <si>
    <t>Combustion</t>
  </si>
  <si>
    <t>Fuel Cycle Emissions</t>
  </si>
  <si>
    <t>kg CO2/kg methane</t>
  </si>
  <si>
    <t>kWh/kg methane</t>
  </si>
  <si>
    <t>kg CO2eq/kg syngas</t>
  </si>
  <si>
    <t>kg CO2eq/kg CO2 captured</t>
  </si>
  <si>
    <t>kgCO2eq/kg Product</t>
  </si>
  <si>
    <t>kgCO2eq/kg CO2 Converted</t>
  </si>
  <si>
    <t>Electricity Intensity chosen for this product/sub-pathway</t>
  </si>
  <si>
    <t>Auxiliary table</t>
  </si>
  <si>
    <t>Category</t>
  </si>
  <si>
    <t>Sub-Category</t>
  </si>
  <si>
    <t>Product</t>
  </si>
  <si>
    <t>CO2 Reduction involving Electricity</t>
  </si>
  <si>
    <t>CO2 Mineralization</t>
  </si>
  <si>
    <t>WMC</t>
  </si>
  <si>
    <t>CWM</t>
  </si>
  <si>
    <t>DMC-W</t>
  </si>
  <si>
    <t>Calcite</t>
  </si>
  <si>
    <t>Polyethylene</t>
  </si>
  <si>
    <t>kgCO2/kg methane</t>
  </si>
  <si>
    <t>Methanol synthesis stage</t>
  </si>
  <si>
    <t>kg CO2/kg methanol</t>
  </si>
  <si>
    <t>For SOEC-CO-&gt;methanol</t>
  </si>
  <si>
    <t>kg syngas/kg methanol</t>
  </si>
  <si>
    <t>kWh/kg methanol</t>
  </si>
  <si>
    <t>For SOEC-CO-&gt;diesel</t>
  </si>
  <si>
    <t>kg syngas/kg diesel</t>
  </si>
  <si>
    <t>Fischer-Tropsch</t>
  </si>
  <si>
    <t>kg CO2/kg diesel</t>
  </si>
  <si>
    <t>kWh/kg diesel</t>
  </si>
  <si>
    <t>CO2 unconverted</t>
  </si>
  <si>
    <t>Electrolysis for H2</t>
  </si>
  <si>
    <t>Hydrogen amount</t>
  </si>
  <si>
    <t>hide if not used</t>
  </si>
  <si>
    <t>MJ/MJ of diesel</t>
  </si>
  <si>
    <t xml:space="preserve">Heats of Combustion </t>
  </si>
  <si>
    <t>LHV</t>
  </si>
  <si>
    <t>HHV</t>
  </si>
  <si>
    <t>Source</t>
  </si>
  <si>
    <t>H2</t>
  </si>
  <si>
    <t>US DOE - LHV &amp; HHV of Hydrogen H2 and Fuels.xls</t>
  </si>
  <si>
    <t>Natural Gas</t>
  </si>
  <si>
    <t>Conventional Gasoline</t>
  </si>
  <si>
    <t>US Conventional Diesel</t>
  </si>
  <si>
    <t>DME</t>
  </si>
  <si>
    <t>European biofuels fact sheet</t>
  </si>
  <si>
    <t>Energy Environ. Sci., 2010, 3, 1382–1397</t>
  </si>
  <si>
    <t>=</t>
  </si>
  <si>
    <t>Energy Conversion</t>
  </si>
  <si>
    <t>MJ</t>
  </si>
  <si>
    <t>Polyethylene?</t>
  </si>
  <si>
    <t>Literature range</t>
  </si>
  <si>
    <t>Jean et al (2014)</t>
  </si>
  <si>
    <t>Muller et al (2011)</t>
  </si>
  <si>
    <t>Rihko-Struckmann et al (2010)</t>
  </si>
  <si>
    <t>van-Dal &amp; Bouallou (2013)</t>
  </si>
  <si>
    <t>Kiss et al (2016)</t>
  </si>
  <si>
    <t>Matzen et al (2015)</t>
  </si>
  <si>
    <t>NG</t>
  </si>
  <si>
    <t>Renewables</t>
  </si>
  <si>
    <t>kgCO2e/MJ Product</t>
  </si>
  <si>
    <t>CO2Conversion</t>
  </si>
  <si>
    <t>Lit1</t>
  </si>
  <si>
    <t>Lit2</t>
  </si>
  <si>
    <t>Lit3</t>
  </si>
  <si>
    <t>Lit4</t>
  </si>
  <si>
    <t>Ethanol</t>
  </si>
  <si>
    <t>kg CO2/kg etOH</t>
  </si>
  <si>
    <t>kWh/kg etOH</t>
  </si>
  <si>
    <t>Electrolysis</t>
  </si>
  <si>
    <t>MJ/MJ diesel</t>
  </si>
  <si>
    <t>Global warming potential of hydrogen and methane production from renewable electricity via power-to-gas technology</t>
  </si>
  <si>
    <t xml:space="preserve"> Chemical storage of wind energy by renewable methanol production: Feasibility analysis using a multi-criteria decision matrix</t>
  </si>
  <si>
    <t>L. K. Rihko-Struckmann, A. Peschel, R. Hanke-Rauschenbach and K. Sundmacher, Ind. Eng. Chem. Res., 2010, 49, 11073–11078</t>
  </si>
  <si>
    <t>E. S. Van-Dal and C. Bouallou, J. Clean. Prod., 2013, 57, 38 – 45</t>
  </si>
  <si>
    <t>A. A. Kiss, J. Pragt, H. Vos, G. Bargeman and M. de Groot, Chem. Eng. J., 2016, 284, 260 – 269</t>
  </si>
  <si>
    <t>B. Müller, K. Müller, D. Teichmann and W. Arlt, Chem. Ing. Tech., 2011, 83, 2002– 2013 (in German).</t>
  </si>
  <si>
    <t>M. D. S. Jean, P. Baurens and C. Bouallou, Int. J. Hydrogen Energy, 2014, 39, 17024– 17039. "Parametric study of an efficient renewable power-to-substitute-natural-gas process including high-temperature steam electrolysis"</t>
  </si>
  <si>
    <t>BTU</t>
  </si>
  <si>
    <t xml:space="preserve"> =</t>
  </si>
  <si>
    <t>gal</t>
  </si>
  <si>
    <t>m3</t>
  </si>
  <si>
    <t>https://afdc.energy.gov/fuels/fuel_comparison_chart.pdf</t>
  </si>
  <si>
    <t>Allocation energy</t>
  </si>
  <si>
    <t>Allocation factor for etOH</t>
  </si>
  <si>
    <t>for etOH (energy)</t>
  </si>
  <si>
    <t>Methanol Synthesis</t>
  </si>
  <si>
    <t>1 - Open 'Main Input &amp; Output' tab</t>
  </si>
  <si>
    <t xml:space="preserve">Electricity </t>
  </si>
  <si>
    <t xml:space="preserve">Heat </t>
  </si>
  <si>
    <t xml:space="preserve">Hydrogen </t>
  </si>
  <si>
    <t xml:space="preserve">Steam </t>
  </si>
  <si>
    <t>Methane input</t>
  </si>
  <si>
    <t>CO emitted</t>
  </si>
  <si>
    <t>Thermal consumption</t>
  </si>
  <si>
    <t>kg CO2conv/kg MeOH</t>
  </si>
  <si>
    <t>Upstream emissions</t>
  </si>
  <si>
    <t>CO</t>
  </si>
  <si>
    <t>DMR - CO</t>
  </si>
  <si>
    <t>DMR - H2</t>
  </si>
  <si>
    <t>H2 amount</t>
  </si>
  <si>
    <t>DMR-CO</t>
  </si>
  <si>
    <t>DMR-H2</t>
  </si>
  <si>
    <t>CO2 Reduction by Hydrocarbon</t>
  </si>
  <si>
    <t>Distillation</t>
  </si>
  <si>
    <t>N2O emitted</t>
  </si>
  <si>
    <t>CH4 emitted</t>
  </si>
  <si>
    <t>CO2 emitted</t>
  </si>
  <si>
    <t>GWP</t>
  </si>
  <si>
    <t>kg CO2conv/kg CH4</t>
  </si>
  <si>
    <t>Drying</t>
  </si>
  <si>
    <t>Global Emission Reduction Potential</t>
  </si>
  <si>
    <t>Metric</t>
  </si>
  <si>
    <t>Row Labels</t>
  </si>
  <si>
    <t>Grand Total</t>
  </si>
  <si>
    <t xml:space="preserve">CO2 Conversion </t>
  </si>
  <si>
    <t xml:space="preserve">End Use </t>
  </si>
  <si>
    <t xml:space="preserve">Electrolysis </t>
  </si>
  <si>
    <t xml:space="preserve">CO2 Capture Process </t>
  </si>
  <si>
    <t xml:space="preserve">CO2 Captured </t>
  </si>
  <si>
    <t xml:space="preserve">Net </t>
  </si>
  <si>
    <t>CO2Reduction by Hydrogen</t>
  </si>
  <si>
    <t>D-H2</t>
  </si>
  <si>
    <t>CO2 Reduction involving Light</t>
  </si>
  <si>
    <t>P.CAT</t>
  </si>
  <si>
    <t>CO2 Reduction Involving Light</t>
  </si>
  <si>
    <t>Avoided Emissions</t>
  </si>
  <si>
    <t>Select a Product:</t>
  </si>
  <si>
    <t>Incumbent</t>
  </si>
  <si>
    <t xml:space="preserve">Incumbent </t>
  </si>
  <si>
    <t xml:space="preserve">Incumbent  </t>
  </si>
  <si>
    <t>Market Size (Gigatons) (2015)</t>
  </si>
  <si>
    <t>Carbonates</t>
  </si>
  <si>
    <t>Global Reduction Potential</t>
  </si>
  <si>
    <t>Raw Reduction Potential</t>
  </si>
  <si>
    <t>(kgCO2e/MJ)</t>
  </si>
  <si>
    <t xml:space="preserve"> -</t>
  </si>
  <si>
    <t xml:space="preserve"> - </t>
  </si>
  <si>
    <t>Coal</t>
  </si>
  <si>
    <t>Baseline</t>
  </si>
  <si>
    <t>Low Carbon</t>
  </si>
  <si>
    <t>High Carbon</t>
  </si>
  <si>
    <t>How to Classify and Use Pathways:</t>
  </si>
  <si>
    <t>2 - Use the following framework to determine stage emissions for respective processes in the life cycle of the CCU technologies.</t>
  </si>
  <si>
    <t>Photosynthesis</t>
  </si>
  <si>
    <t>Malate, ethanol, biodiesel, renewable diesel, other biofuels, proteins, biomass, syngas, hydrocarbon fuels, methanol, other chemical feedstocks</t>
  </si>
  <si>
    <t>Fermentation</t>
  </si>
  <si>
    <t>Biomass production by trees, grasses, crops, and macroscopic algae (e.g. kelp)</t>
  </si>
  <si>
    <t>Does not include bio-conversions or those involving electricity or light</t>
  </si>
  <si>
    <t>Syngas, hydrocarbon fuels, methanol, petrochemical feedstocks, formate</t>
  </si>
  <si>
    <t>Other forms of energy, like heat or chemical energy, may also be involved. These other energy forms may even predominate.</t>
  </si>
  <si>
    <t>High-Temperature SOEC Electrolysis</t>
  </si>
  <si>
    <t>Reversible Fuel Cell processes</t>
  </si>
  <si>
    <t>Dry Methane Reforming</t>
  </si>
  <si>
    <t>Bi-Reforming</t>
  </si>
  <si>
    <t>Examples include methane and ethane but not methanol, glycerol or coke</t>
  </si>
  <si>
    <t>Tri-Reforming</t>
  </si>
  <si>
    <t>Reverse Water-Gas Shift (RWGS)</t>
  </si>
  <si>
    <t>Syngas, hydrocarbon fuels, methanol, dimethyl ether (DME), synthetic natural gas (SNG)</t>
  </si>
  <si>
    <t>These reactions typically use a catalyst</t>
  </si>
  <si>
    <t>Photocatalysis</t>
  </si>
  <si>
    <t>Syngas, hydrocarbons, methanol, hydrogen, other chemical feedstocks</t>
  </si>
  <si>
    <t>Other forms of energy may also be involved or even predominate. e.g. heat, chemical or electrical energy</t>
  </si>
  <si>
    <t>Photoelectrocatalysis</t>
  </si>
  <si>
    <t>Does not include biological photosynthesis</t>
  </si>
  <si>
    <t>Syngas, hydrocarbon fuels, other chemical feedstocks</t>
  </si>
  <si>
    <t>kg CO2conv/kg Calcite</t>
  </si>
  <si>
    <t xml:space="preserve">Facility </t>
  </si>
  <si>
    <t>Total Electricity</t>
  </si>
  <si>
    <t>kwh/ton CO2 Captured</t>
  </si>
  <si>
    <t>Total Heat</t>
  </si>
  <si>
    <t>MJ/ton CO2 Captured</t>
  </si>
  <si>
    <t>kg CO2conv/kg CWM</t>
  </si>
  <si>
    <t>HOW TO USE</t>
  </si>
  <si>
    <t>Hydrogen Intensity</t>
  </si>
  <si>
    <t>Amount of H2</t>
  </si>
  <si>
    <t>CO2 Reduction by Hydrogen</t>
  </si>
  <si>
    <t>REFERENCES</t>
  </si>
  <si>
    <t>kgCO2/kg CH4</t>
  </si>
  <si>
    <t>Electricity (desalination of water)</t>
  </si>
  <si>
    <t>kWh/kg CH4</t>
  </si>
  <si>
    <t>Hard Coal</t>
  </si>
  <si>
    <t>Oil</t>
  </si>
  <si>
    <t>MJ Hard Coal/kg CH4</t>
  </si>
  <si>
    <t>Ecoinvent: hard coal mine operation and hard coal preparation | hard coal | Cutoff, S</t>
  </si>
  <si>
    <t>17.3 MJ/kg</t>
  </si>
  <si>
    <t>North America</t>
  </si>
  <si>
    <t>Ecoinvent: Heavy fuel oil at refinery, production mix, at refinery, from crude oil, 1 wt.% sulphur</t>
  </si>
  <si>
    <t>39 MJ/kg</t>
  </si>
  <si>
    <t>MJ Oil/kg CH4</t>
  </si>
  <si>
    <t>Ecoinvent: natural gas production | natural gas, high pressure | Cutoff, S</t>
  </si>
  <si>
    <t>Ecoinvent: market for methane, 96% by volume | methane, 96% by volume | Cutoff, S</t>
  </si>
  <si>
    <t>kWh/kg MeOH</t>
  </si>
  <si>
    <t>MJ Hard Coal/kg MeOH</t>
  </si>
  <si>
    <t>MJ Oil/kg MeOH</t>
  </si>
  <si>
    <t>Electricity Consumption</t>
  </si>
  <si>
    <t>Cooling</t>
  </si>
  <si>
    <t>Cooling emission factor</t>
  </si>
  <si>
    <t>Ecoinvent: cooling energy, from natural gas, at cogen unit with absorption chiller 100kW | cooling energy | Cutoff, S</t>
  </si>
  <si>
    <t>kgCO2/kg syngas</t>
  </si>
  <si>
    <t>RESULTS DASHBOARD</t>
  </si>
  <si>
    <t>General Assumptions</t>
  </si>
  <si>
    <t>MAIN INPUT</t>
  </si>
  <si>
    <t>Categories</t>
  </si>
  <si>
    <t>Sub-categories</t>
  </si>
  <si>
    <t>CO2 Reduction Involving Electricity</t>
  </si>
  <si>
    <t>DMC-O</t>
  </si>
  <si>
    <t>Magnesite</t>
  </si>
  <si>
    <t>kg CO2conv/kg Magnesite</t>
  </si>
  <si>
    <t>CCU</t>
  </si>
  <si>
    <t>Carbon Capture and Utilization</t>
  </si>
  <si>
    <t>Acronyms</t>
  </si>
  <si>
    <t>General</t>
  </si>
  <si>
    <t>GHG</t>
  </si>
  <si>
    <t>Greenhouse Gases</t>
  </si>
  <si>
    <t>LCA</t>
  </si>
  <si>
    <t>Life Cycle Assessment</t>
  </si>
  <si>
    <t>Mineralization Pathway</t>
  </si>
  <si>
    <t>Direct Mineral Carbonation with Olivine</t>
  </si>
  <si>
    <t>Direct Mineral Carbonation with Wollastonite</t>
  </si>
  <si>
    <t>Waste Mineral Carbonation</t>
  </si>
  <si>
    <t>Dry Methane Reforming with CO Purging</t>
  </si>
  <si>
    <t>Dry Methane Reforming with H2</t>
  </si>
  <si>
    <t>Photocatalytic Reduction of CO2 using semiconductors</t>
  </si>
  <si>
    <t>Direct Hydrogenation to produce fuels</t>
  </si>
  <si>
    <t>Direct Air Capture (CO2)</t>
  </si>
  <si>
    <t/>
  </si>
  <si>
    <t>LCA Estimate Model For CCU</t>
  </si>
  <si>
    <t>Authors</t>
  </si>
  <si>
    <t>What is LCA Estimate Model for CCU?</t>
  </si>
  <si>
    <r>
      <t xml:space="preserve">4 - If desired, parameters may be changed for </t>
    </r>
    <r>
      <rPr>
        <b/>
        <sz val="11"/>
        <rFont val="Calibri"/>
        <family val="2"/>
        <scheme val="minor"/>
      </rPr>
      <t>individual pathways</t>
    </r>
    <r>
      <rPr>
        <sz val="11"/>
        <rFont val="Calibri"/>
        <family val="2"/>
        <scheme val="minor"/>
      </rPr>
      <t>:</t>
    </r>
  </si>
  <si>
    <t>Main Input &amp; Outputs</t>
  </si>
  <si>
    <t>General and Pathways Specific Assumptions may be changed, such as:</t>
  </si>
  <si>
    <t>Electricity Consumption and Intensity</t>
  </si>
  <si>
    <t>Heat Consumption and Intensity</t>
  </si>
  <si>
    <t>Steam Consumption and Intensity</t>
  </si>
  <si>
    <t>Constants and auxiliary values</t>
  </si>
  <si>
    <r>
      <t>CO</t>
    </r>
    <r>
      <rPr>
        <vertAlign val="subscript"/>
        <sz val="11"/>
        <rFont val="Calibri"/>
        <family val="2"/>
        <scheme val="minor"/>
      </rPr>
      <t>2</t>
    </r>
    <r>
      <rPr>
        <sz val="11"/>
        <rFont val="Calibri"/>
        <family val="2"/>
        <scheme val="minor"/>
      </rPr>
      <t xml:space="preserve"> Mineralization</t>
    </r>
  </si>
  <si>
    <r>
      <t>CO</t>
    </r>
    <r>
      <rPr>
        <vertAlign val="subscript"/>
        <sz val="11"/>
        <rFont val="Calibri"/>
        <family val="2"/>
        <scheme val="minor"/>
      </rPr>
      <t>2</t>
    </r>
    <r>
      <rPr>
        <sz val="11"/>
        <rFont val="Calibri"/>
        <family val="2"/>
        <scheme val="minor"/>
      </rPr>
      <t xml:space="preserve"> is not reduced but instead is reacted with a cation such as magnesium, calcium, or iron to form a carbonate mineral</t>
    </r>
  </si>
  <si>
    <r>
      <t>Reaction of CO</t>
    </r>
    <r>
      <rPr>
        <vertAlign val="subscript"/>
        <sz val="11"/>
        <rFont val="Calibri"/>
        <family val="2"/>
        <scheme val="minor"/>
      </rPr>
      <t xml:space="preserve">2 </t>
    </r>
    <r>
      <rPr>
        <sz val="11"/>
        <rFont val="Calibri"/>
        <family val="2"/>
        <scheme val="minor"/>
      </rPr>
      <t>with magnesium silicate (found in olivine) to form magnesium carbonate and silica:</t>
    </r>
  </si>
  <si>
    <r>
      <t>C</t>
    </r>
    <r>
      <rPr>
        <sz val="11"/>
        <rFont val="Calibri"/>
        <family val="2"/>
        <scheme val="minor"/>
      </rPr>
      <t>arbonate, concrete and soil additives</t>
    </r>
  </si>
  <si>
    <r>
      <t>This category only includes ex-situ conversion. In-situ mineralization is considered a CO</t>
    </r>
    <r>
      <rPr>
        <vertAlign val="subscript"/>
        <sz val="11"/>
        <rFont val="Calibri"/>
        <family val="2"/>
        <scheme val="minor"/>
      </rPr>
      <t>2</t>
    </r>
    <r>
      <rPr>
        <sz val="11"/>
        <rFont val="Calibri"/>
        <family val="2"/>
        <scheme val="minor"/>
      </rPr>
      <t xml:space="preserve"> sequestration method, not a utilization method.</t>
    </r>
  </si>
  <si>
    <r>
      <t>Mg</t>
    </r>
    <r>
      <rPr>
        <vertAlign val="subscript"/>
        <sz val="11"/>
        <rFont val="Calibri"/>
        <family val="2"/>
        <scheme val="minor"/>
      </rPr>
      <t>2</t>
    </r>
    <r>
      <rPr>
        <sz val="11"/>
        <rFont val="Calibri"/>
        <family val="2"/>
        <scheme val="minor"/>
      </rPr>
      <t>SiO</t>
    </r>
    <r>
      <rPr>
        <vertAlign val="subscript"/>
        <sz val="11"/>
        <rFont val="Calibri"/>
        <family val="2"/>
        <scheme val="minor"/>
      </rPr>
      <t>4</t>
    </r>
    <r>
      <rPr>
        <sz val="11"/>
        <rFont val="Calibri"/>
        <family val="2"/>
        <scheme val="minor"/>
      </rPr>
      <t xml:space="preserve"> + 2CO</t>
    </r>
    <r>
      <rPr>
        <vertAlign val="subscript"/>
        <sz val="11"/>
        <rFont val="Calibri"/>
        <family val="2"/>
        <scheme val="minor"/>
      </rPr>
      <t>2</t>
    </r>
    <r>
      <rPr>
        <sz val="11"/>
        <rFont val="Calibri"/>
        <family val="2"/>
        <scheme val="minor"/>
      </rPr>
      <t xml:space="preserve">  →  2MgCO</t>
    </r>
    <r>
      <rPr>
        <vertAlign val="subscript"/>
        <sz val="11"/>
        <rFont val="Calibri"/>
        <family val="2"/>
        <scheme val="minor"/>
      </rPr>
      <t>3</t>
    </r>
    <r>
      <rPr>
        <sz val="11"/>
        <rFont val="Calibri"/>
        <family val="2"/>
        <scheme val="minor"/>
      </rPr>
      <t xml:space="preserve"> + SiO</t>
    </r>
    <r>
      <rPr>
        <vertAlign val="subscript"/>
        <sz val="11"/>
        <rFont val="Calibri"/>
        <family val="2"/>
        <scheme val="minor"/>
      </rPr>
      <t>2</t>
    </r>
  </si>
  <si>
    <r>
      <t>CO</t>
    </r>
    <r>
      <rPr>
        <vertAlign val="subscript"/>
        <sz val="11"/>
        <rFont val="Calibri"/>
        <family val="2"/>
        <scheme val="minor"/>
      </rPr>
      <t>2</t>
    </r>
    <r>
      <rPr>
        <sz val="11"/>
        <rFont val="Calibri"/>
        <family val="2"/>
        <scheme val="minor"/>
      </rPr>
      <t xml:space="preserve"> Bio-Conversion </t>
    </r>
  </si>
  <si>
    <r>
      <t>Microbial: CO</t>
    </r>
    <r>
      <rPr>
        <vertAlign val="subscript"/>
        <sz val="11"/>
        <rFont val="Calibri"/>
        <family val="2"/>
        <scheme val="minor"/>
      </rPr>
      <t>2</t>
    </r>
    <r>
      <rPr>
        <sz val="11"/>
        <rFont val="Calibri"/>
        <family val="2"/>
        <scheme val="minor"/>
      </rPr>
      <t xml:space="preserve"> is first converted by unicellular biological organisms that derive their energy from light (e.g. by photosynthesis) or use chemical energy (i.e. chemotrophs) </t>
    </r>
  </si>
  <si>
    <r>
      <t>P</t>
    </r>
    <r>
      <rPr>
        <sz val="11"/>
        <rFont val="Calibri"/>
        <family val="2"/>
        <scheme val="minor"/>
      </rPr>
      <t>lant-Based: CO</t>
    </r>
    <r>
      <rPr>
        <vertAlign val="subscript"/>
        <sz val="11"/>
        <rFont val="Calibri"/>
        <family val="2"/>
        <scheme val="minor"/>
      </rPr>
      <t>2</t>
    </r>
    <r>
      <rPr>
        <sz val="11"/>
        <rFont val="Calibri"/>
        <family val="2"/>
        <scheme val="minor"/>
      </rPr>
      <t xml:space="preserve"> is captured and converted by photosynthetic plants into biomass</t>
    </r>
  </si>
  <si>
    <r>
      <t>CO</t>
    </r>
    <r>
      <rPr>
        <vertAlign val="subscript"/>
        <sz val="11"/>
        <rFont val="Calibri"/>
        <family val="2"/>
        <scheme val="minor"/>
      </rPr>
      <t>2</t>
    </r>
    <r>
      <rPr>
        <sz val="11"/>
        <rFont val="Calibri"/>
        <family val="2"/>
        <scheme val="minor"/>
      </rPr>
      <t xml:space="preserve"> Reduction by Other Reagents</t>
    </r>
  </si>
  <si>
    <r>
      <t>CO</t>
    </r>
    <r>
      <rPr>
        <vertAlign val="subscript"/>
        <sz val="11"/>
        <rFont val="Calibri"/>
        <family val="2"/>
        <scheme val="minor"/>
      </rPr>
      <t>2</t>
    </r>
    <r>
      <rPr>
        <sz val="11"/>
        <rFont val="Calibri"/>
        <family val="2"/>
        <scheme val="minor"/>
      </rPr>
      <t xml:space="preserve"> is first reduced by a chemical reaction with a reagent other than hydrogen or a hydrocarbon</t>
    </r>
  </si>
  <si>
    <r>
      <t>Reduction of CO</t>
    </r>
    <r>
      <rPr>
        <vertAlign val="subscript"/>
        <sz val="11"/>
        <rFont val="Calibri"/>
        <family val="2"/>
        <scheme val="minor"/>
      </rPr>
      <t xml:space="preserve">2 </t>
    </r>
    <r>
      <rPr>
        <sz val="11"/>
        <rFont val="Calibri"/>
        <family val="2"/>
        <scheme val="minor"/>
      </rPr>
      <t>by methanol, glycerol, or epoxide</t>
    </r>
  </si>
  <si>
    <r>
      <t>E</t>
    </r>
    <r>
      <rPr>
        <sz val="11"/>
        <rFont val="Calibri"/>
        <family val="2"/>
        <scheme val="minor"/>
      </rPr>
      <t>thylene oxide, dimethyl carbonate (DMC), polycarbonate plastics</t>
    </r>
  </si>
  <si>
    <r>
      <t>I</t>
    </r>
    <r>
      <rPr>
        <sz val="11"/>
        <rFont val="Calibri"/>
        <family val="2"/>
        <scheme val="minor"/>
      </rPr>
      <t>ncludes some 'CO</t>
    </r>
    <r>
      <rPr>
        <vertAlign val="subscript"/>
        <sz val="11"/>
        <rFont val="Calibri"/>
        <family val="2"/>
        <scheme val="minor"/>
      </rPr>
      <t>2</t>
    </r>
    <r>
      <rPr>
        <sz val="11"/>
        <rFont val="Calibri"/>
        <family val="2"/>
        <scheme val="minor"/>
      </rPr>
      <t xml:space="preserve"> polymerization' and ethylene synthesis pathways</t>
    </r>
  </si>
  <si>
    <r>
      <t>CO</t>
    </r>
    <r>
      <rPr>
        <vertAlign val="subscript"/>
        <sz val="11"/>
        <rFont val="Calibri"/>
        <family val="2"/>
        <scheme val="minor"/>
      </rPr>
      <t>2</t>
    </r>
    <r>
      <rPr>
        <sz val="11"/>
        <rFont val="Calibri"/>
        <family val="2"/>
        <scheme val="minor"/>
      </rPr>
      <t xml:space="preserve"> Reduction Involving Electricity</t>
    </r>
  </si>
  <si>
    <r>
      <t>CO</t>
    </r>
    <r>
      <rPr>
        <vertAlign val="subscript"/>
        <sz val="11"/>
        <rFont val="Calibri"/>
        <family val="2"/>
        <scheme val="minor"/>
      </rPr>
      <t>2</t>
    </r>
    <r>
      <rPr>
        <sz val="11"/>
        <rFont val="Calibri"/>
        <family val="2"/>
        <scheme val="minor"/>
      </rPr>
      <t xml:space="preserve"> is first reduced by a reaction involving externally-applied electricity but not light</t>
    </r>
  </si>
  <si>
    <r>
      <t>Low-Temperature/Aqueous CO</t>
    </r>
    <r>
      <rPr>
        <vertAlign val="subscript"/>
        <sz val="11"/>
        <rFont val="Calibri"/>
        <family val="2"/>
        <scheme val="minor"/>
      </rPr>
      <t>2</t>
    </r>
    <r>
      <rPr>
        <sz val="11"/>
        <rFont val="Calibri"/>
        <family val="2"/>
        <scheme val="minor"/>
      </rPr>
      <t xml:space="preserve"> Electrolysis</t>
    </r>
  </si>
  <si>
    <r>
      <t>CO</t>
    </r>
    <r>
      <rPr>
        <vertAlign val="subscript"/>
        <sz val="11"/>
        <rFont val="Calibri"/>
        <family val="2"/>
        <scheme val="minor"/>
      </rPr>
      <t>2</t>
    </r>
    <r>
      <rPr>
        <sz val="11"/>
        <rFont val="Calibri"/>
        <family val="2"/>
        <scheme val="minor"/>
      </rPr>
      <t xml:space="preserve"> Reduction by a Hydrocarbon</t>
    </r>
  </si>
  <si>
    <r>
      <t>CO</t>
    </r>
    <r>
      <rPr>
        <vertAlign val="subscript"/>
        <sz val="11"/>
        <rFont val="Calibri"/>
        <family val="2"/>
        <scheme val="minor"/>
      </rPr>
      <t>2</t>
    </r>
    <r>
      <rPr>
        <sz val="11"/>
        <rFont val="Calibri"/>
        <family val="2"/>
        <scheme val="minor"/>
      </rPr>
      <t xml:space="preserve"> is first reduced by a chemical reaction with a hydrocarbon</t>
    </r>
  </si>
  <si>
    <r>
      <t>Syngas (CO + H</t>
    </r>
    <r>
      <rPr>
        <vertAlign val="subscript"/>
        <sz val="11"/>
        <rFont val="Calibri"/>
        <family val="2"/>
        <scheme val="minor"/>
      </rPr>
      <t>2</t>
    </r>
    <r>
      <rPr>
        <sz val="11"/>
        <rFont val="Calibri"/>
        <family val="2"/>
        <scheme val="minor"/>
      </rPr>
      <t>), hydrocarbon fuels, methanol, butanol, and other chemical feedstocks</t>
    </r>
  </si>
  <si>
    <t>A hydrocarbon'  is a substance containing only hydrogen and carbon atoms</t>
  </si>
  <si>
    <r>
      <t>CO</t>
    </r>
    <r>
      <rPr>
        <vertAlign val="subscript"/>
        <sz val="11"/>
        <rFont val="Calibri"/>
        <family val="2"/>
        <scheme val="minor"/>
      </rPr>
      <t xml:space="preserve">2 </t>
    </r>
    <r>
      <rPr>
        <sz val="11"/>
        <rFont val="Calibri"/>
        <family val="2"/>
        <scheme val="minor"/>
      </rPr>
      <t>Reduction by Hydrogen</t>
    </r>
  </si>
  <si>
    <r>
      <t>CO</t>
    </r>
    <r>
      <rPr>
        <vertAlign val="subscript"/>
        <sz val="11"/>
        <rFont val="Calibri"/>
        <family val="2"/>
        <scheme val="minor"/>
      </rPr>
      <t>2</t>
    </r>
    <r>
      <rPr>
        <sz val="11"/>
        <rFont val="Calibri"/>
        <family val="2"/>
        <scheme val="minor"/>
      </rPr>
      <t xml:space="preserve"> is first reduced by a chemical reaction with hydrogen</t>
    </r>
  </si>
  <si>
    <r>
      <t>Methanol Synthesis from CO</t>
    </r>
    <r>
      <rPr>
        <vertAlign val="subscript"/>
        <sz val="11"/>
        <rFont val="Calibri"/>
        <family val="2"/>
        <scheme val="minor"/>
      </rPr>
      <t>2</t>
    </r>
    <r>
      <rPr>
        <sz val="11"/>
        <rFont val="Calibri"/>
        <family val="2"/>
        <scheme val="minor"/>
      </rPr>
      <t xml:space="preserve"> and H</t>
    </r>
    <r>
      <rPr>
        <vertAlign val="subscript"/>
        <sz val="11"/>
        <rFont val="Calibri"/>
        <family val="2"/>
        <scheme val="minor"/>
      </rPr>
      <t>2</t>
    </r>
    <r>
      <rPr>
        <sz val="11"/>
        <rFont val="Calibri"/>
        <family val="2"/>
        <scheme val="minor"/>
      </rPr>
      <t xml:space="preserve"> CO</t>
    </r>
    <r>
      <rPr>
        <vertAlign val="subscript"/>
        <sz val="11"/>
        <rFont val="Calibri"/>
        <family val="2"/>
        <scheme val="minor"/>
      </rPr>
      <t>2</t>
    </r>
    <r>
      <rPr>
        <sz val="11"/>
        <rFont val="Calibri"/>
        <family val="2"/>
        <scheme val="minor"/>
      </rPr>
      <t xml:space="preserve"> Methanation</t>
    </r>
  </si>
  <si>
    <r>
      <t>CO</t>
    </r>
    <r>
      <rPr>
        <vertAlign val="subscript"/>
        <sz val="11"/>
        <rFont val="Calibri"/>
        <family val="2"/>
        <scheme val="minor"/>
      </rPr>
      <t>2</t>
    </r>
    <r>
      <rPr>
        <sz val="11"/>
        <rFont val="Calibri"/>
        <family val="2"/>
        <scheme val="minor"/>
      </rPr>
      <t xml:space="preserve"> Reduction Involving Light</t>
    </r>
  </si>
  <si>
    <r>
      <t>CO</t>
    </r>
    <r>
      <rPr>
        <vertAlign val="subscript"/>
        <sz val="11"/>
        <rFont val="Calibri"/>
        <family val="2"/>
        <scheme val="minor"/>
      </rPr>
      <t>2</t>
    </r>
    <r>
      <rPr>
        <sz val="11"/>
        <rFont val="Calibri"/>
        <family val="2"/>
        <scheme val="minor"/>
      </rPr>
      <t xml:space="preserve"> is first reduced by a reaction that involves light energy</t>
    </r>
  </si>
  <si>
    <r>
      <t>Other CO</t>
    </r>
    <r>
      <rPr>
        <vertAlign val="subscript"/>
        <sz val="11"/>
        <rFont val="Calibri"/>
        <family val="2"/>
        <scheme val="minor"/>
      </rPr>
      <t>2</t>
    </r>
    <r>
      <rPr>
        <sz val="11"/>
        <rFont val="Calibri"/>
        <family val="2"/>
        <scheme val="minor"/>
      </rPr>
      <t xml:space="preserve"> Conversions</t>
    </r>
  </si>
  <si>
    <r>
      <t>All other methods of CO</t>
    </r>
    <r>
      <rPr>
        <vertAlign val="subscript"/>
        <sz val="11"/>
        <rFont val="Calibri"/>
        <family val="2"/>
        <scheme val="minor"/>
      </rPr>
      <t>2</t>
    </r>
    <r>
      <rPr>
        <sz val="11"/>
        <rFont val="Calibri"/>
        <family val="2"/>
        <scheme val="minor"/>
      </rPr>
      <t xml:space="preserve"> utilization. Includes CO</t>
    </r>
    <r>
      <rPr>
        <vertAlign val="subscript"/>
        <sz val="11"/>
        <rFont val="Calibri"/>
        <family val="2"/>
        <scheme val="minor"/>
      </rPr>
      <t>2</t>
    </r>
    <r>
      <rPr>
        <sz val="11"/>
        <rFont val="Calibri"/>
        <family val="2"/>
        <scheme val="minor"/>
      </rPr>
      <t xml:space="preserve"> absorption and thermal splitting / plasma processes.</t>
    </r>
  </si>
  <si>
    <r>
      <t>Thermal Splitting of CO</t>
    </r>
    <r>
      <rPr>
        <vertAlign val="subscript"/>
        <sz val="11"/>
        <rFont val="Calibri"/>
        <family val="2"/>
        <scheme val="minor"/>
      </rPr>
      <t>2</t>
    </r>
    <r>
      <rPr>
        <sz val="11"/>
        <rFont val="Calibri"/>
        <family val="2"/>
        <scheme val="minor"/>
      </rPr>
      <t>, as with the iron oxide redox cycle</t>
    </r>
  </si>
  <si>
    <t xml:space="preserve">This is a beta version of the LCA Estimate Model for CCU tool. It is not intended to provide definitive LCA results, instead it provides illustrative examples of CCU pathways. </t>
  </si>
  <si>
    <t>You accept that the Software is offered to you on an “as is” basis, and neither Dr. Bergerson or the University is making any warranties of any kind regarding its performance, including merchantability, fitness for any purpose or non-infringement.</t>
  </si>
  <si>
    <t>You understand that you are using this software entirely at your own risk. You agree that neither Dr. Bergerson or the University will be liable for any direct, indirect, special, incidental or consequential damages resulting from your use, misuse or inability to use this software, even if Dr. Bergerson or the University has been advised of the possibility of such damages.</t>
  </si>
  <si>
    <t>Dr. Joule A. Bergerson, Associate Professor, Department of Chemical and Petroleum Engineering, University of Calgary</t>
  </si>
  <si>
    <t>Auxiliary list for the chart Per kg of Product</t>
  </si>
  <si>
    <t>Selected Product</t>
  </si>
  <si>
    <t xml:space="preserve">Sub-Pathway: </t>
  </si>
  <si>
    <t>4. Global Reduction Potential</t>
  </si>
  <si>
    <t>Dr. Heather McLean, Associate Professor, Department of Civil &amp; Mineral Engineering, University of Toronto</t>
  </si>
  <si>
    <t>Dr. John Wolodko, Associate Professor, Agricultural Life and Environmental Sciences, University of Alberta</t>
  </si>
  <si>
    <t>Dr. Adriana Gaona Gomez, Postdoc, Department of Civil &amp; Mineral Engineering, University of Toronto</t>
  </si>
  <si>
    <t>Dr. Sean McCoy, Assistant Professor, Department of Chemical and Petroleum Engineering, University of Calgary</t>
  </si>
  <si>
    <t>Emily Nishikawa, PhD student, Department of Chemical and Petroleum Engineering, University of Calgary</t>
  </si>
  <si>
    <t>Carbonated Waste Materials</t>
  </si>
  <si>
    <t>Geothermal</t>
  </si>
  <si>
    <t>Photobioreactor Dry-Extraction</t>
  </si>
  <si>
    <t>Pond Wet Extraction</t>
  </si>
  <si>
    <t>kg CO2conv/kg Algae</t>
  </si>
  <si>
    <t>kg algae/kg diesel</t>
  </si>
  <si>
    <t>Hexane</t>
  </si>
  <si>
    <t>MJ/kg Biodiesel</t>
  </si>
  <si>
    <t>kgCO2/kg Biodiesel</t>
  </si>
  <si>
    <t>kwh/kg Biodiesel</t>
  </si>
  <si>
    <t>kwh/kg Calcite</t>
  </si>
  <si>
    <t>kWh/kg Calcite</t>
  </si>
  <si>
    <t>kwh/kg CWM</t>
  </si>
  <si>
    <t>kwh/kg Magnesite</t>
  </si>
  <si>
    <t>kWh/kg CWM</t>
  </si>
  <si>
    <t>kWh/kg Magnesite</t>
  </si>
  <si>
    <t>Biodiesel</t>
  </si>
  <si>
    <t>kWh/kg Diesel</t>
  </si>
  <si>
    <t>kwh/kg Diesel</t>
  </si>
  <si>
    <t>kg CO2conv/kg Biodiesel</t>
  </si>
  <si>
    <t>kg CO2conv/kg Diesel</t>
  </si>
  <si>
    <t>kWh/kg Biodiesel</t>
  </si>
  <si>
    <t>kwh/kg biodiesel</t>
  </si>
  <si>
    <t>CO2 Bioconversion</t>
  </si>
  <si>
    <t>P-DE</t>
  </si>
  <si>
    <t>P-WE</t>
  </si>
  <si>
    <t>Reference</t>
  </si>
  <si>
    <t>Fu et al. (2009)</t>
  </si>
  <si>
    <t>Fu, Q., Mabilat, C., Zahid, M., Brisse, A., Gautiner, L. 2009. Syngas production via high-temperature steam/CO2 co-electrolysis: an economic assessment. Energy &amp; Environmental Science. DOI: 10.1039/c0ee00092b</t>
  </si>
  <si>
    <t>Hoppe et al. (2017)</t>
  </si>
  <si>
    <t>Van der Giesen et al. (2014)</t>
  </si>
  <si>
    <t>Perez-Fortes et al. (2016)</t>
  </si>
  <si>
    <t>Hoppe, W., Thonemann, N., Bringezu, S. 2017. Life Cycle Assessment of Carbon Dioxide–Based Production of Methane and Methanol and Derived Polymers. Journal of Industrial Ecology. DOI: 10.1111/jiec.12583</t>
  </si>
  <si>
    <t>van der Giesen, C., Kleijn, R., Kramer, G. J. 2014. Energy and Climate Impacts of Producing Synthetic Hydrocarbon Fuels from CO2. Environmental Science &amp; Technology. DOI:10.1021/es500191g</t>
  </si>
  <si>
    <t xml:space="preserve">Luu, M. Milani, D., Bahadori, A., Abbas, A. 2015. A comparative study of CO2 utilization in methanol synthesis with various syngas production technologies. Journal of CO2 Utilization. DOI: 10.1016/j.jcou.2015.07.001. </t>
  </si>
  <si>
    <t>Luu et al (2015)</t>
  </si>
  <si>
    <t>Spurgeon and Kumar (2018)</t>
  </si>
  <si>
    <t>Spurgeon, J.M., Kumar, B. 2018. A comparative technoeconomic analysis of pathways for commercial electrochemical CO2 reduction to liquid products. Energy &amp; Environmental Science. DOI: 10.1039/c8ee00097b.</t>
  </si>
  <si>
    <t>Perez-Fortes, M., Schöneberger, J.C., Boulamanti, A., Tzimas, A. 2016. Methanol synthesis using captured CO2 as raw material: Techno-economic and environmental assessment. Applied Energy. DOI: 10.1016/j.apenergy.2015.07.067</t>
  </si>
  <si>
    <t>Giannoulakis et al., 2014 - Scenario #1</t>
  </si>
  <si>
    <t>Giannoulakis et al., 2014 - Scenario #2</t>
  </si>
  <si>
    <t>Giannoulakis, S., Volkart, K., Bauer, C. 2014. Life cycle and cost assessment of mineral carbonation for carbon capture and storage in European power generation. International Journal of Greenhouse Gas Control. DOI: 10.1016/j.ijggc.2013.12.002.</t>
  </si>
  <si>
    <t>Lardon et al., 2009</t>
  </si>
  <si>
    <t>Lardon, L., Hélias, A., Sialve, B., Steyer, J.P., Bernard, O. 2009. Life-Cycle Assessment of Biodiesel Production from Microalgae.  Environmental Science &amp; Technology. DOI: 10.1021/es900705j.</t>
  </si>
  <si>
    <t>Liu, X., Saydah, B., Eranki, P., Colosi, L.M., Greg, M.B., Rhodes, J., Clarens, A.F. 2013. Pilot-scale data provide enhanced estimates of the life cycle energy and emissions profile of algae biofuels produced via hydrothermal liquefaction. Bioresource Technology. DOI: 10.1016/j.biortech.2013.08.112</t>
  </si>
  <si>
    <t>Liu et al., 2013</t>
  </si>
  <si>
    <t>sum heating:</t>
  </si>
  <si>
    <t>Electrolysis - H2</t>
  </si>
  <si>
    <t>2º Conversion</t>
  </si>
  <si>
    <t>kWh/kg Methane</t>
  </si>
  <si>
    <t>kWh/kg Methanol</t>
  </si>
  <si>
    <t>kWh/kg Ethanol</t>
  </si>
  <si>
    <t>H2 Input</t>
  </si>
  <si>
    <t>kg H2/kg Methanol</t>
  </si>
  <si>
    <t>kg CH4/kg Methanol</t>
  </si>
  <si>
    <t>kg/kg Methane</t>
  </si>
  <si>
    <t>kg/kg Methanol</t>
  </si>
  <si>
    <t>Hydrogen Input</t>
  </si>
  <si>
    <t>kg H2/kg Diesel</t>
  </si>
  <si>
    <t>kg H2/kg Methane</t>
  </si>
  <si>
    <t>4.3 - To undo the changes of all pathways, in the General Assumptions section, click on Reset All button</t>
  </si>
  <si>
    <t>Electrical heater + renewable</t>
  </si>
  <si>
    <t>Electrolysis + low carbon electricity</t>
  </si>
  <si>
    <t>Jean et al. (2014)</t>
  </si>
  <si>
    <t>Muller et al. (2011)</t>
  </si>
  <si>
    <t>Reiter and Lindorfer (2015)</t>
  </si>
  <si>
    <t>Matzen et al. (2015)</t>
  </si>
  <si>
    <t>Kiss et al. (2016)</t>
  </si>
  <si>
    <t>Rihko-Struckmann et al. (2010)</t>
  </si>
  <si>
    <t>Müller, B., Müller, K., Teichmann, D., Arlt, W. 2011. Energiespeicherung mittels Methan und energietragenden Stoffen – ein thermodynamischer Vergleich Energy Storage by CO2 Methanization and Energy Carrying Compounds: A Thermodynamic Comparison. Chemie-Ingenieur-Technik. DOI: 10.1002/cite.201100113.</t>
  </si>
  <si>
    <t>Reiter, G., Lindorfer, J. 2015. Global warming potential of hydrogen and methane production from renewable electricity via power-to-gas technology. The International Journal of Life Cycle Assessment. DOI: 10.1007/s11367-015-0848-0</t>
  </si>
  <si>
    <t>Jean, M.D.S., Baurens, P., Bouallou, C. 2014. Parametric study of an efficient renewable power-to-substitute-natural-gas process including high-temperature steam electrolysis. International Journal of Hydrogen Energy. DOI: 10.1016/j.ijhydene.2014.08.091</t>
  </si>
  <si>
    <t>Matzen, M., Alhajji, M., Demirel, Y. 2015. Chemical storage of wind energy by renewable methanol production: Feasibility analysis using a multi-criteria decision matrix. Energy. DOI: 10.1016/j.energy.2015.09.043</t>
  </si>
  <si>
    <t>Kiss, A.A., Pragt, J.J., Vos, H.J., Bargeman, G., de Groot, M.T. 2016. Novel efficient process for methanol synthesis by CO2 hydrogenation. Chemical Engineering Journal. DOI: 10.1016/j.cej.2015.08.101</t>
  </si>
  <si>
    <t>Rihko-Struckmann, L.K., Peschel, A., Hanke-Rauschenbach, R., Sundmacher, K. 2010. Assessment of Methanol Synthesis Utilizing Exhaust CO2 for Chemical Storage of Electrical Energy. Industrial &amp; Engineering Chemistry Research. DOI: 10.1021/ie100508w</t>
  </si>
  <si>
    <t>Trudewind et al. (2014a)</t>
  </si>
  <si>
    <t>Trudewind et al. (2014b)</t>
  </si>
  <si>
    <t>Trudewind, C.A., Schreiber, A., Haumann, D. 2014a. Photocatalytic methanol and methane production using captured CO2 from coal-fired power plants. Part I - a Life Cycle Assessment. Journal of Cleaner Production. DOI: 10.1016/j.jclepro.2014.02.014</t>
  </si>
  <si>
    <t>Trudewind, C.A., Schreiber, A., Haumann, D. 2014b. hotocatalytic methanol and methane production using captured CO2 from coal power plants. Part II – Well-to-Wheel analysis on fuels for passenger transportation services. Journal of Cleaner Production. DOI: 10.1016/j.jclepro.2014.02.024</t>
  </si>
  <si>
    <t>Collet et al. (2014)</t>
  </si>
  <si>
    <t>Torres, Cm.M., Rios, S.D., Torras, C., Salvadó, J., Mateo-Sanz, J.M., Jiménez, L. 2013. Microalgae-based biodiesel: a multicriteria analysis of the production process using realistic scenarios. Bioresource Technology.  DOI: 10.1016/j.biortech.2013.07.145.</t>
  </si>
  <si>
    <t>Torres et al. (2013)</t>
  </si>
  <si>
    <t>Manganaro and Lawal (2016)</t>
  </si>
  <si>
    <t>Manganaro, J.L., Lawal, A. 2016. CO2 Life-Cycle Assessment of the Production of Algae-Based Liquid Fuel Compared to Crude Oil to Diesel. Energy &amp; Fuels. DOI: 10.1021/acs.energyfuels.6b00207</t>
  </si>
  <si>
    <t>Ponnusamy, S., Reddy, H.K., Muppaneni, T., Downes, C.M., Deng, S. 2014. Life cycle assessment of biodiesel production from algal bio-crude oils extracted under subcritical water conditions. Bioresource Technology. DOI: 10.1016/j.biortech.2014.07.072</t>
  </si>
  <si>
    <t>Ponnusamy et al. (2014)</t>
  </si>
  <si>
    <t>Liu et al. (2013)</t>
  </si>
  <si>
    <t>5.1 - Select  the desired product in the dropdown menu, then the data will be shown automatically</t>
  </si>
  <si>
    <t>Electricity is used for the methanation reactor operation</t>
  </si>
  <si>
    <t>Electricity is used for compression of gases and water pumping</t>
  </si>
  <si>
    <t>The heat used is the additional heating needed after the energy integration</t>
  </si>
  <si>
    <t>Electricity is used for water input and distillation processes</t>
  </si>
  <si>
    <t>Electricity is used for water input and methane drying process</t>
  </si>
  <si>
    <t>Heating supplied to the reformer, after energy integration</t>
  </si>
  <si>
    <t>This is the external hydrogen supplied to the reaction</t>
  </si>
  <si>
    <t>Shah Ahmad, PhD Candidate, Agricultural Life and Environmental Sciences, University of Alberta</t>
  </si>
  <si>
    <t>Fu et al. (2009) and van der Giesen et al. (2014)</t>
  </si>
  <si>
    <t>Calculations for the Incumbents</t>
  </si>
  <si>
    <t>Steam Intensity</t>
  </si>
  <si>
    <t>Product:</t>
  </si>
  <si>
    <t>Total Electricity Consumption</t>
  </si>
  <si>
    <t>Total Hydrogen Consumption</t>
  </si>
  <si>
    <t>Fixed Production emissions</t>
  </si>
  <si>
    <t>Total Heat Consumption</t>
  </si>
  <si>
    <t>Dr. Shamiul Islam, Postdoc, Department of Chemical and Petroleum Engineering, University of Calgary</t>
  </si>
  <si>
    <t>Dr. Sylvia Sleep, Postdoc, Department of Chemical and Petroleum Engineering, University of Calgary</t>
  </si>
  <si>
    <t>Dr. Yeshambel Melese, Postdoc, Department of Chemical and Petroleum Engineering, University of Calgary</t>
  </si>
  <si>
    <t>Dr. Amanuel Weldeyohannes, Postdoc,  Agricultural Life and Environmental Sciences, University of Alberta</t>
  </si>
  <si>
    <t>to be confirmed</t>
  </si>
  <si>
    <t>Total Steam Consumption</t>
  </si>
  <si>
    <t>MJ/kg diesel</t>
  </si>
  <si>
    <t>from Petcoke</t>
  </si>
  <si>
    <t>from Residual oil/SCO, Refinery still gas and butane</t>
  </si>
  <si>
    <t>from SMR and hydrogen</t>
  </si>
  <si>
    <t>MJ/kg MeOH</t>
  </si>
  <si>
    <t>MJ/kg Methane</t>
  </si>
  <si>
    <t>Hard Coal and Oil</t>
  </si>
  <si>
    <t>GREET model version 1_2019</t>
  </si>
  <si>
    <t>Incumbent Technologies</t>
  </si>
  <si>
    <t>Cement</t>
  </si>
  <si>
    <r>
      <t>Pathway: CO</t>
    </r>
    <r>
      <rPr>
        <b/>
        <vertAlign val="subscript"/>
        <sz val="14"/>
        <color theme="0"/>
        <rFont val="Calibri"/>
        <family val="2"/>
        <scheme val="minor"/>
      </rPr>
      <t>2</t>
    </r>
    <r>
      <rPr>
        <b/>
        <sz val="14"/>
        <color theme="0"/>
        <rFont val="Calibri"/>
        <family val="2"/>
        <scheme val="minor"/>
      </rPr>
      <t xml:space="preserve"> Mineralization</t>
    </r>
  </si>
  <si>
    <r>
      <t>Pathway: CO</t>
    </r>
    <r>
      <rPr>
        <b/>
        <vertAlign val="subscript"/>
        <sz val="14"/>
        <color theme="0"/>
        <rFont val="Calibri"/>
        <family val="2"/>
        <scheme val="minor"/>
      </rPr>
      <t>2</t>
    </r>
    <r>
      <rPr>
        <b/>
        <sz val="14"/>
        <color theme="0"/>
        <rFont val="Calibri"/>
        <family val="2"/>
        <scheme val="minor"/>
      </rPr>
      <t xml:space="preserve"> Bioconversion</t>
    </r>
  </si>
  <si>
    <r>
      <t>Pathway: CO</t>
    </r>
    <r>
      <rPr>
        <b/>
        <vertAlign val="subscript"/>
        <sz val="14"/>
        <color theme="0"/>
        <rFont val="Calibri"/>
        <family val="2"/>
        <scheme val="minor"/>
      </rPr>
      <t>2</t>
    </r>
    <r>
      <rPr>
        <b/>
        <sz val="14"/>
        <color theme="0"/>
        <rFont val="Calibri"/>
        <family val="2"/>
        <scheme val="minor"/>
      </rPr>
      <t xml:space="preserve"> Reduction Involving Electricity</t>
    </r>
  </si>
  <si>
    <r>
      <t>Pathway: CO</t>
    </r>
    <r>
      <rPr>
        <b/>
        <vertAlign val="subscript"/>
        <sz val="14"/>
        <color theme="0"/>
        <rFont val="Calibri"/>
        <family val="2"/>
        <scheme val="minor"/>
      </rPr>
      <t>2</t>
    </r>
    <r>
      <rPr>
        <b/>
        <sz val="14"/>
        <color theme="0"/>
        <rFont val="Calibri"/>
        <family val="2"/>
        <scheme val="minor"/>
      </rPr>
      <t xml:space="preserve"> Reduction by Hydrocarbon</t>
    </r>
  </si>
  <si>
    <r>
      <t>Pathway: CO</t>
    </r>
    <r>
      <rPr>
        <b/>
        <vertAlign val="subscript"/>
        <sz val="14"/>
        <color theme="0"/>
        <rFont val="Calibri"/>
        <family val="2"/>
        <scheme val="minor"/>
      </rPr>
      <t>2</t>
    </r>
    <r>
      <rPr>
        <b/>
        <sz val="14"/>
        <color theme="0"/>
        <rFont val="Calibri"/>
        <family val="2"/>
        <scheme val="minor"/>
      </rPr>
      <t xml:space="preserve"> Reduction Involving Light</t>
    </r>
  </si>
  <si>
    <r>
      <t>Pathway: CO</t>
    </r>
    <r>
      <rPr>
        <b/>
        <vertAlign val="subscript"/>
        <sz val="14"/>
        <color theme="0"/>
        <rFont val="Calibri"/>
        <family val="2"/>
        <scheme val="minor"/>
      </rPr>
      <t>2</t>
    </r>
    <r>
      <rPr>
        <b/>
        <sz val="14"/>
        <color theme="0"/>
        <rFont val="Calibri"/>
        <family val="2"/>
        <scheme val="minor"/>
      </rPr>
      <t xml:space="preserve"> Reduction by Hydrogen</t>
    </r>
  </si>
  <si>
    <r>
      <t>DMR-H</t>
    </r>
    <r>
      <rPr>
        <b/>
        <vertAlign val="subscript"/>
        <sz val="12"/>
        <rFont val="Calibri"/>
        <family val="2"/>
        <scheme val="minor"/>
      </rPr>
      <t>2</t>
    </r>
  </si>
  <si>
    <r>
      <t>D-H</t>
    </r>
    <r>
      <rPr>
        <b/>
        <vertAlign val="subscript"/>
        <sz val="12"/>
        <rFont val="Calibri"/>
        <family val="2"/>
        <scheme val="minor"/>
      </rPr>
      <t>2</t>
    </r>
  </si>
  <si>
    <t>Default emission factors</t>
  </si>
  <si>
    <t>Custom emission factors</t>
  </si>
  <si>
    <r>
      <t>1. Emissions per kg of CO</t>
    </r>
    <r>
      <rPr>
        <b/>
        <vertAlign val="subscript"/>
        <sz val="20"/>
        <color theme="0"/>
        <rFont val="Calibri"/>
        <family val="2"/>
        <scheme val="minor"/>
      </rPr>
      <t>2</t>
    </r>
    <r>
      <rPr>
        <b/>
        <sz val="20"/>
        <color theme="0"/>
        <rFont val="Calibri"/>
        <family val="2"/>
        <scheme val="minor"/>
      </rPr>
      <t xml:space="preserve"> CONVERTED</t>
    </r>
  </si>
  <si>
    <r>
      <t>CO</t>
    </r>
    <r>
      <rPr>
        <vertAlign val="subscript"/>
        <sz val="11"/>
        <color theme="1"/>
        <rFont val="Calibri"/>
        <family val="2"/>
        <scheme val="minor"/>
      </rPr>
      <t>2</t>
    </r>
    <r>
      <rPr>
        <sz val="11"/>
        <color theme="1"/>
        <rFont val="Calibri"/>
        <family val="2"/>
        <scheme val="minor"/>
      </rPr>
      <t xml:space="preserve"> Mineralization</t>
    </r>
  </si>
  <si>
    <t>2.1 - It is possible to change the emission factor of each parameter. To do so, type the new emission factor in the respective green cell, then click on "Use this emission factor" checkbox in the General Assumptions section. All the pathways will be calculated based on the custom emission factor.</t>
  </si>
  <si>
    <r>
      <t>CO</t>
    </r>
    <r>
      <rPr>
        <vertAlign val="subscript"/>
        <sz val="12"/>
        <color theme="1"/>
        <rFont val="Calibri"/>
        <family val="2"/>
        <scheme val="minor"/>
      </rPr>
      <t>2</t>
    </r>
    <r>
      <rPr>
        <sz val="12"/>
        <color theme="1"/>
        <rFont val="Calibri"/>
        <family val="2"/>
        <scheme val="minor"/>
      </rPr>
      <t xml:space="preserve"> Source</t>
    </r>
  </si>
  <si>
    <t>2 - Select the Electricity, Heat, Steam, Hydrogen and Carbon Dioxide sources from the top dropdown menus</t>
  </si>
  <si>
    <r>
      <t>1 - Each technology is classified as per the first CO</t>
    </r>
    <r>
      <rPr>
        <vertAlign val="subscript"/>
        <sz val="11"/>
        <rFont val="Calibri"/>
        <family val="2"/>
        <scheme val="minor"/>
      </rPr>
      <t>2</t>
    </r>
    <r>
      <rPr>
        <sz val="11"/>
        <rFont val="Calibri"/>
        <family val="2"/>
        <scheme val="minor"/>
      </rPr>
      <t xml:space="preserve"> reaction of the pathway according to the following categorization scheme: </t>
    </r>
  </si>
  <si>
    <t>Model Changes</t>
  </si>
  <si>
    <t>Beta 0.1 (March 2020)</t>
  </si>
  <si>
    <t>3. Avoided emissions</t>
  </si>
  <si>
    <t>Cautions when interpreting results</t>
  </si>
  <si>
    <t>Brief description of worksheets</t>
  </si>
  <si>
    <t>Carbon Dioxide Source</t>
  </si>
  <si>
    <t>Calculation tabs and Summary Table</t>
  </si>
  <si>
    <t>Framework and model</t>
  </si>
  <si>
    <t>Category names</t>
  </si>
  <si>
    <t>Category definition</t>
  </si>
  <si>
    <t>Example processes</t>
  </si>
  <si>
    <t>Example end products</t>
  </si>
  <si>
    <t>Terms of use</t>
  </si>
  <si>
    <r>
      <t>CO</t>
    </r>
    <r>
      <rPr>
        <sz val="11"/>
        <color theme="1"/>
        <rFont val="Calibri"/>
        <family val="2"/>
      </rPr>
      <t>₂</t>
    </r>
    <r>
      <rPr>
        <sz val="11"/>
        <color theme="1"/>
        <rFont val="Calibri"/>
        <family val="2"/>
        <scheme val="minor"/>
      </rPr>
      <t xml:space="preserve"> Mineralization</t>
    </r>
  </si>
  <si>
    <r>
      <t>CO</t>
    </r>
    <r>
      <rPr>
        <sz val="11"/>
        <color theme="1"/>
        <rFont val="Calibri"/>
        <family val="2"/>
      </rPr>
      <t>₂</t>
    </r>
    <r>
      <rPr>
        <sz val="11"/>
        <color theme="1"/>
        <rFont val="Calibri"/>
        <family val="2"/>
        <scheme val="minor"/>
      </rPr>
      <t xml:space="preserve"> Capture Process</t>
    </r>
  </si>
  <si>
    <r>
      <t>CO</t>
    </r>
    <r>
      <rPr>
        <sz val="11"/>
        <color theme="1"/>
        <rFont val="Calibri"/>
        <family val="2"/>
      </rPr>
      <t>₂</t>
    </r>
    <r>
      <rPr>
        <sz val="11"/>
        <color theme="1"/>
        <rFont val="Calibri"/>
        <family val="2"/>
        <scheme val="minor"/>
      </rPr>
      <t xml:space="preserve"> Conversion Process</t>
    </r>
  </si>
  <si>
    <r>
      <t>CO</t>
    </r>
    <r>
      <rPr>
        <sz val="11"/>
        <color theme="1"/>
        <rFont val="Calibri"/>
        <family val="2"/>
      </rPr>
      <t>₂</t>
    </r>
    <r>
      <rPr>
        <sz val="11"/>
        <color theme="1"/>
        <rFont val="Calibri"/>
        <family val="2"/>
        <scheme val="minor"/>
      </rPr>
      <t xml:space="preserve"> Reduction Involving Electricity</t>
    </r>
  </si>
  <si>
    <r>
      <t>CO</t>
    </r>
    <r>
      <rPr>
        <sz val="11"/>
        <color theme="1"/>
        <rFont val="Calibri"/>
        <family val="2"/>
      </rPr>
      <t>₂</t>
    </r>
    <r>
      <rPr>
        <sz val="11"/>
        <color theme="1"/>
        <rFont val="Calibri"/>
        <family val="2"/>
        <scheme val="minor"/>
      </rPr>
      <t xml:space="preserve"> Reduction by Hydrocarbon</t>
    </r>
  </si>
  <si>
    <r>
      <t>CO</t>
    </r>
    <r>
      <rPr>
        <sz val="11"/>
        <color theme="1"/>
        <rFont val="Calibri"/>
        <family val="2"/>
      </rPr>
      <t>₂</t>
    </r>
    <r>
      <rPr>
        <sz val="11"/>
        <color theme="1"/>
        <rFont val="Calibri"/>
        <family val="2"/>
        <scheme val="minor"/>
      </rPr>
      <t xml:space="preserve"> Reduction by Hydrogen</t>
    </r>
  </si>
  <si>
    <r>
      <t>CO</t>
    </r>
    <r>
      <rPr>
        <sz val="11"/>
        <color theme="1"/>
        <rFont val="Calibri"/>
        <family val="2"/>
      </rPr>
      <t>₂</t>
    </r>
    <r>
      <rPr>
        <sz val="11"/>
        <color theme="1"/>
        <rFont val="Calibri"/>
        <family val="2"/>
        <scheme val="minor"/>
      </rPr>
      <t xml:space="preserve"> Reduction Involving Light</t>
    </r>
  </si>
  <si>
    <r>
      <t>CO</t>
    </r>
    <r>
      <rPr>
        <sz val="11"/>
        <color theme="1"/>
        <rFont val="Calibri"/>
        <family val="2"/>
      </rPr>
      <t>₂</t>
    </r>
    <r>
      <rPr>
        <sz val="11"/>
        <color theme="1"/>
        <rFont val="Calibri"/>
        <family val="2"/>
        <scheme val="minor"/>
      </rPr>
      <t xml:space="preserve"> Bioconversion</t>
    </r>
  </si>
  <si>
    <r>
      <t>CO</t>
    </r>
    <r>
      <rPr>
        <sz val="11"/>
        <color theme="1"/>
        <rFont val="Calibri"/>
        <family val="2"/>
      </rPr>
      <t>₂</t>
    </r>
    <r>
      <rPr>
        <sz val="11"/>
        <color theme="1"/>
        <rFont val="Calibri"/>
        <family val="2"/>
        <scheme val="minor"/>
      </rPr>
      <t xml:space="preserve"> Reduction involving Electricity</t>
    </r>
  </si>
  <si>
    <r>
      <t>CO</t>
    </r>
    <r>
      <rPr>
        <sz val="11"/>
        <color theme="1"/>
        <rFont val="Calibri"/>
        <family val="2"/>
      </rPr>
      <t>₂</t>
    </r>
    <r>
      <rPr>
        <sz val="11"/>
        <color theme="1"/>
        <rFont val="Calibri"/>
        <family val="2"/>
        <scheme val="minor"/>
      </rPr>
      <t xml:space="preserve"> Converted</t>
    </r>
  </si>
  <si>
    <t>Emission factors active in the model</t>
  </si>
  <si>
    <t>Examples of emission factors</t>
  </si>
  <si>
    <r>
      <t>CO</t>
    </r>
    <r>
      <rPr>
        <b/>
        <sz val="11"/>
        <color theme="0"/>
        <rFont val="Calibri"/>
        <family val="2"/>
      </rPr>
      <t>₂</t>
    </r>
    <r>
      <rPr>
        <b/>
        <sz val="11"/>
        <color theme="0"/>
        <rFont val="Calibri"/>
        <family val="2"/>
        <scheme val="minor"/>
      </rPr>
      <t xml:space="preserve"> Capture Process</t>
    </r>
  </si>
  <si>
    <r>
      <t>CO</t>
    </r>
    <r>
      <rPr>
        <b/>
        <sz val="11"/>
        <color theme="0"/>
        <rFont val="Calibri"/>
        <family val="2"/>
      </rPr>
      <t>₂</t>
    </r>
    <r>
      <rPr>
        <b/>
        <sz val="11"/>
        <color theme="0"/>
        <rFont val="Calibri"/>
        <family val="2"/>
        <scheme val="minor"/>
      </rPr>
      <t xml:space="preserve"> Conversion Process</t>
    </r>
  </si>
  <si>
    <r>
      <t>CO</t>
    </r>
    <r>
      <rPr>
        <b/>
        <sz val="11"/>
        <color theme="0"/>
        <rFont val="Calibri"/>
        <family val="2"/>
      </rPr>
      <t>₂</t>
    </r>
    <r>
      <rPr>
        <b/>
        <sz val="11"/>
        <color theme="0"/>
        <rFont val="Calibri"/>
        <family val="2"/>
        <scheme val="minor"/>
      </rPr>
      <t xml:space="preserve"> Converted</t>
    </r>
  </si>
  <si>
    <t>Life Cycle Stages</t>
  </si>
  <si>
    <t>Emissions of the electrolysis process for hydrogen production in the CO2 Reduction Involving Electricity pathway</t>
  </si>
  <si>
    <r>
      <t>CO</t>
    </r>
    <r>
      <rPr>
        <vertAlign val="subscript"/>
        <sz val="11"/>
        <color theme="1"/>
        <rFont val="Calibri"/>
        <family val="2"/>
        <scheme val="minor"/>
      </rPr>
      <t>2</t>
    </r>
    <r>
      <rPr>
        <sz val="11"/>
        <color theme="1"/>
        <rFont val="Calibri"/>
        <family val="2"/>
        <scheme val="minor"/>
      </rPr>
      <t xml:space="preserve"> Converted</t>
    </r>
  </si>
  <si>
    <r>
      <t>CO</t>
    </r>
    <r>
      <rPr>
        <vertAlign val="subscript"/>
        <sz val="11"/>
        <color theme="1"/>
        <rFont val="Calibri"/>
        <family val="2"/>
        <scheme val="minor"/>
      </rPr>
      <t>2</t>
    </r>
    <r>
      <rPr>
        <sz val="11"/>
        <color theme="1"/>
        <rFont val="Calibri"/>
        <family val="2"/>
        <scheme val="minor"/>
      </rPr>
      <t xml:space="preserve"> Capture Process</t>
    </r>
  </si>
  <si>
    <r>
      <t>CO</t>
    </r>
    <r>
      <rPr>
        <vertAlign val="subscript"/>
        <sz val="11"/>
        <color theme="1"/>
        <rFont val="Calibri"/>
        <family val="2"/>
        <scheme val="minor"/>
      </rPr>
      <t>2</t>
    </r>
    <r>
      <rPr>
        <sz val="11"/>
        <color theme="1"/>
        <rFont val="Calibri"/>
        <family val="2"/>
        <scheme val="minor"/>
      </rPr>
      <t xml:space="preserve"> Conversion Process</t>
    </r>
  </si>
  <si>
    <r>
      <t>Amount CO</t>
    </r>
    <r>
      <rPr>
        <vertAlign val="subscript"/>
        <sz val="11"/>
        <color theme="1"/>
        <rFont val="Calibri"/>
        <family val="2"/>
        <scheme val="minor"/>
      </rPr>
      <t>2</t>
    </r>
    <r>
      <rPr>
        <sz val="11"/>
        <color theme="1"/>
        <rFont val="Calibri"/>
        <family val="2"/>
        <scheme val="minor"/>
      </rPr>
      <t xml:space="preserve"> that is converted in each pathway</t>
    </r>
  </si>
  <si>
    <r>
      <t>Emissions associated with capturing the CO</t>
    </r>
    <r>
      <rPr>
        <vertAlign val="subscript"/>
        <sz val="11"/>
        <color theme="1"/>
        <rFont val="Calibri"/>
        <family val="2"/>
        <scheme val="minor"/>
      </rPr>
      <t>2</t>
    </r>
    <r>
      <rPr>
        <sz val="11"/>
        <color theme="1"/>
        <rFont val="Calibri"/>
        <family val="2"/>
        <scheme val="minor"/>
      </rPr>
      <t xml:space="preserve"> necessary for each pathway</t>
    </r>
  </si>
  <si>
    <r>
      <t>Emissions associated with the step in which CO</t>
    </r>
    <r>
      <rPr>
        <vertAlign val="subscript"/>
        <sz val="11"/>
        <color theme="1"/>
        <rFont val="Calibri"/>
        <family val="2"/>
        <scheme val="minor"/>
      </rPr>
      <t>2</t>
    </r>
    <r>
      <rPr>
        <sz val="11"/>
        <color theme="1"/>
        <rFont val="Calibri"/>
        <family val="2"/>
        <scheme val="minor"/>
      </rPr>
      <t xml:space="preserve"> is converted</t>
    </r>
  </si>
  <si>
    <t>Emissions related to the use phase of each end product</t>
  </si>
  <si>
    <t>Emissions of each pathway - summation of the emissions of all life cycle phases</t>
  </si>
  <si>
    <t>Pink cells are linked to selected options in the Main Input &amp; Output tab and can only modified in that tab</t>
  </si>
  <si>
    <t>Pink cells are linked to selected options in the Main Input &amp; Output tab and can only be modified in that tab</t>
  </si>
  <si>
    <t>Currently not shown in Results Dashboard</t>
  </si>
  <si>
    <t>kgCO2eq/MJ Product</t>
  </si>
  <si>
    <t>Avoided emissions</t>
  </si>
  <si>
    <t xml:space="preserve">Avoided emissions </t>
  </si>
  <si>
    <t>ICEF, 2016</t>
  </si>
  <si>
    <t>ICEF, "Global Roadmap for Implementing CO2 Utilization. CO2 Sciences and The Global CO2 Initiative. Innovation for Cool Earth Forum," 2016.</t>
  </si>
  <si>
    <t xml:space="preserve">Kurad et al. (2017) </t>
  </si>
  <si>
    <t>Kurad, R., Silvestre, J. D., Brito, J., Ahmed, H. 2017. “Effect of incorporation of high volume of recycled concrete aggregates and fly ash on the strength and global warming potential of concrete”, Journal of Cleaner Production, vol. 166, pp. 485-502.</t>
  </si>
  <si>
    <t>Li-na, J. 2013. Study on Preparation Process and Properties of Polyethylene Terephthalate (PET). Applied Mechanics and Materials. DOI: 10.4028/www.scientific.net/AMM.312.406</t>
  </si>
  <si>
    <t>RFA, 2020</t>
  </si>
  <si>
    <t>RFA, Renewable Fuels Association. Annual World Fuel Ethanol Production. Available at: &lt;https://ethanolrfa.org/statistics/annual-ethanol-production/&gt;. Accessed on Jan/25/2020.</t>
  </si>
  <si>
    <t>Average US electricity grid mix in 2017</t>
  </si>
  <si>
    <t>IEA, 2019</t>
  </si>
  <si>
    <r>
      <t>IEA, Tracking the decoupling of electricity demand and associated CO</t>
    </r>
    <r>
      <rPr>
        <vertAlign val="subscript"/>
        <sz val="11"/>
        <rFont val="Calibri"/>
        <family val="2"/>
        <scheme val="minor"/>
      </rPr>
      <t>2</t>
    </r>
    <r>
      <rPr>
        <sz val="11"/>
        <rFont val="Calibri"/>
        <family val="2"/>
        <scheme val="minor"/>
      </rPr>
      <t xml:space="preserve"> emissions. Avilable at: &lt;https://www.iea.org/commentaries/tracking-the-decoupling-of-electricity-demand-and-associated-co2-emissions&gt;. 2019.</t>
    </r>
  </si>
  <si>
    <t>EPA, 2018</t>
  </si>
  <si>
    <t>Average US electricity in 2018</t>
  </si>
  <si>
    <t>CAMX (WECC California ) - lowest</t>
  </si>
  <si>
    <t>MROE (MRO East) - highest</t>
  </si>
  <si>
    <t>Steam and Heat</t>
  </si>
  <si>
    <t xml:space="preserve"> *Steam and heat are treated as the same</t>
  </si>
  <si>
    <t>and presented as representative of the entire</t>
  </si>
  <si>
    <t>thermal efficiency</t>
  </si>
  <si>
    <t>Solid Oxide Electrolyser Cell Co-Electrolysis</t>
  </si>
  <si>
    <t>Solid Oxide Electrolyser Cell Electrolysis</t>
  </si>
  <si>
    <t>Reiter &amp; Lindorfer (2015)</t>
  </si>
  <si>
    <t>The following publications are used as reference to emission factors, life cycle inventory for pathways and incumbent technologies, and constants used throughout the model.</t>
  </si>
  <si>
    <t>6 - The end use phase is considered as the full combustion for fuels. Transportation and distribution of end-products are not included.</t>
  </si>
  <si>
    <t>For each pathway there is a specific tab with the calculations, and the Summary Table tab conveys the results that are shown in the Main Input &amp; Output tab.</t>
  </si>
  <si>
    <t>Released on March, 2020</t>
  </si>
  <si>
    <t>Beta Version 0.1 LCA Estimate Model for CCU</t>
  </si>
  <si>
    <r>
      <t>Calculations for the pathway CO</t>
    </r>
    <r>
      <rPr>
        <b/>
        <vertAlign val="subscript"/>
        <sz val="12"/>
        <color theme="1"/>
        <rFont val="Calibri"/>
        <family val="2"/>
        <scheme val="minor"/>
      </rPr>
      <t>2</t>
    </r>
    <r>
      <rPr>
        <b/>
        <sz val="12"/>
        <color theme="1"/>
        <rFont val="Calibri"/>
        <family val="2"/>
        <scheme val="minor"/>
      </rPr>
      <t xml:space="preserve"> Reduction by Hydrocarbon</t>
    </r>
  </si>
  <si>
    <r>
      <t>Calculations for the pathway CO</t>
    </r>
    <r>
      <rPr>
        <b/>
        <vertAlign val="subscript"/>
        <sz val="12"/>
        <color theme="1"/>
        <rFont val="Calibri"/>
        <family val="2"/>
        <scheme val="minor"/>
      </rPr>
      <t>2</t>
    </r>
    <r>
      <rPr>
        <b/>
        <sz val="12"/>
        <color theme="1"/>
        <rFont val="Calibri"/>
        <family val="2"/>
        <scheme val="minor"/>
      </rPr>
      <t xml:space="preserve"> Reduction Involving Electricity</t>
    </r>
  </si>
  <si>
    <r>
      <t>Calculations for the pathway CO</t>
    </r>
    <r>
      <rPr>
        <b/>
        <vertAlign val="subscript"/>
        <sz val="12"/>
        <color theme="1"/>
        <rFont val="Calibri"/>
        <family val="2"/>
        <scheme val="minor"/>
      </rPr>
      <t>2</t>
    </r>
    <r>
      <rPr>
        <b/>
        <sz val="12"/>
        <color theme="1"/>
        <rFont val="Calibri"/>
        <family val="2"/>
        <scheme val="minor"/>
      </rPr>
      <t xml:space="preserve"> Reduction by Hydrogen</t>
    </r>
  </si>
  <si>
    <r>
      <t>Calculations for the pathway CO</t>
    </r>
    <r>
      <rPr>
        <b/>
        <vertAlign val="subscript"/>
        <sz val="12"/>
        <color theme="1"/>
        <rFont val="Calibri"/>
        <family val="2"/>
        <scheme val="minor"/>
      </rPr>
      <t>2</t>
    </r>
    <r>
      <rPr>
        <b/>
        <sz val="12"/>
        <color theme="1"/>
        <rFont val="Calibri"/>
        <family val="2"/>
        <scheme val="minor"/>
      </rPr>
      <t xml:space="preserve"> Reduction Involving Light</t>
    </r>
  </si>
  <si>
    <r>
      <t>Calculations for the pathway CO</t>
    </r>
    <r>
      <rPr>
        <b/>
        <vertAlign val="subscript"/>
        <sz val="12"/>
        <color theme="1"/>
        <rFont val="Calibri"/>
        <family val="2"/>
        <scheme val="minor"/>
      </rPr>
      <t>2</t>
    </r>
    <r>
      <rPr>
        <b/>
        <sz val="12"/>
        <color theme="1"/>
        <rFont val="Calibri"/>
        <family val="2"/>
        <scheme val="minor"/>
      </rPr>
      <t xml:space="preserve"> Bioconversion</t>
    </r>
  </si>
  <si>
    <r>
      <t>Calculations for the pathway CO</t>
    </r>
    <r>
      <rPr>
        <b/>
        <vertAlign val="subscript"/>
        <sz val="12"/>
        <color theme="1"/>
        <rFont val="Calibri"/>
        <family val="2"/>
        <scheme val="minor"/>
      </rPr>
      <t>2</t>
    </r>
    <r>
      <rPr>
        <b/>
        <sz val="12"/>
        <color theme="1"/>
        <rFont val="Calibri"/>
        <family val="2"/>
        <scheme val="minor"/>
      </rPr>
      <t xml:space="preserve"> Reduction Mineralization</t>
    </r>
  </si>
  <si>
    <t>3 - The respective LCA results will be displayed in the figures on the right</t>
  </si>
  <si>
    <t>4.1 - In the sub-section of the respective pathway, input the desired values in the green cells. For each parameter, in case there is an intensity value associated with it, a drop-down menu will be displayed in the right</t>
  </si>
  <si>
    <t>4.2 - To undo the changes, click on Reset Pathway. The amounts will be replaced by the default values, and the emission factors will be changed to those in the General Assumptions</t>
  </si>
  <si>
    <t>5 - The figure 2 Emissions per kg of product requires the selection of a specific product</t>
  </si>
  <si>
    <r>
      <t>N</t>
    </r>
    <r>
      <rPr>
        <vertAlign val="subscript"/>
        <sz val="11"/>
        <color theme="1"/>
        <rFont val="Calibri"/>
        <family val="2"/>
        <scheme val="minor"/>
      </rPr>
      <t>2</t>
    </r>
    <r>
      <rPr>
        <sz val="11"/>
        <color theme="1"/>
        <rFont val="Calibri"/>
        <family val="2"/>
        <scheme val="minor"/>
      </rPr>
      <t>O</t>
    </r>
  </si>
  <si>
    <r>
      <t>CH</t>
    </r>
    <r>
      <rPr>
        <vertAlign val="subscript"/>
        <sz val="11"/>
        <color theme="1"/>
        <rFont val="Calibri"/>
        <family val="2"/>
        <scheme val="minor"/>
      </rPr>
      <t>4</t>
    </r>
  </si>
  <si>
    <r>
      <t>0.656 kg/m</t>
    </r>
    <r>
      <rPr>
        <vertAlign val="superscript"/>
        <sz val="11"/>
        <color theme="1"/>
        <rFont val="Calibri"/>
        <family val="2"/>
        <scheme val="minor"/>
      </rPr>
      <t>3</t>
    </r>
  </si>
  <si>
    <r>
      <t>1.4 kg/m</t>
    </r>
    <r>
      <rPr>
        <vertAlign val="superscript"/>
        <sz val="11"/>
        <color theme="1"/>
        <rFont val="Calibri"/>
        <family val="2"/>
        <scheme val="minor"/>
      </rPr>
      <t>3</t>
    </r>
  </si>
  <si>
    <t>Supporting emission factors and GWP used in the model</t>
  </si>
  <si>
    <t>Coal fired</t>
  </si>
  <si>
    <t>Natural gas power plant</t>
  </si>
  <si>
    <t>Coal power plant</t>
  </si>
  <si>
    <t>Direct air capture</t>
  </si>
  <si>
    <r>
      <t>kg CO</t>
    </r>
    <r>
      <rPr>
        <vertAlign val="subscript"/>
        <sz val="12"/>
        <color theme="1"/>
        <rFont val="Calibri"/>
        <family val="2"/>
        <scheme val="minor"/>
      </rPr>
      <t>2</t>
    </r>
    <r>
      <rPr>
        <sz val="12"/>
        <color theme="1"/>
        <rFont val="Calibri"/>
        <family val="2"/>
        <scheme val="minor"/>
      </rPr>
      <t>eq/kWh</t>
    </r>
  </si>
  <si>
    <r>
      <t>kg CO</t>
    </r>
    <r>
      <rPr>
        <vertAlign val="subscript"/>
        <sz val="12"/>
        <color theme="1"/>
        <rFont val="Calibri"/>
        <family val="2"/>
        <scheme val="minor"/>
      </rPr>
      <t>2</t>
    </r>
    <r>
      <rPr>
        <sz val="12"/>
        <color theme="1"/>
        <rFont val="Calibri"/>
        <family val="2"/>
        <scheme val="minor"/>
      </rPr>
      <t>eq/MJ</t>
    </r>
  </si>
  <si>
    <r>
      <t>kg CO</t>
    </r>
    <r>
      <rPr>
        <vertAlign val="subscript"/>
        <sz val="12"/>
        <color theme="1"/>
        <rFont val="Calibri"/>
        <family val="2"/>
        <scheme val="minor"/>
      </rPr>
      <t>2</t>
    </r>
    <r>
      <rPr>
        <sz val="12"/>
        <color theme="1"/>
        <rFont val="Calibri"/>
        <family val="2"/>
        <scheme val="minor"/>
      </rPr>
      <t>eq/kg H</t>
    </r>
    <r>
      <rPr>
        <vertAlign val="subscript"/>
        <sz val="12"/>
        <color theme="1"/>
        <rFont val="Calibri"/>
        <family val="2"/>
        <scheme val="minor"/>
      </rPr>
      <t>2</t>
    </r>
  </si>
  <si>
    <r>
      <t>kg CO</t>
    </r>
    <r>
      <rPr>
        <vertAlign val="subscript"/>
        <sz val="12"/>
        <color theme="1"/>
        <rFont val="Calibri"/>
        <family val="2"/>
        <scheme val="minor"/>
      </rPr>
      <t>2</t>
    </r>
    <r>
      <rPr>
        <sz val="12"/>
        <color theme="1"/>
        <rFont val="Calibri"/>
        <family val="2"/>
        <scheme val="minor"/>
      </rPr>
      <t>eq/</t>
    </r>
  </si>
  <si>
    <t>1 - In Figure 2 in the Main Input &amp; Output tab, the comparison of pathways per kg of Product can only be done for one product at a time, since 1 kg of diesel has a different meaning (or function) than 1 kg of methane from a LCA perspective.</t>
  </si>
  <si>
    <t>3 - The avoided emissions in Figure 3 are the difference between the CCU and the incumbent technology. However, time frame mismatch was not considered and needs to be interpreted with caution, since the incumbent technology is a stablished technology (currently) and the CCU alternative is considered to be deployed in the future.</t>
  </si>
  <si>
    <t>4 - The global reduction potential in Figure 4 is a high level estimate considering the market size as of 2015 and a market penetration of 50%. More sophisticated models were not applied. This will be expanded in future work.</t>
  </si>
  <si>
    <t>5 - In Figure 4 Global Reduction Potential, if the CCU pathways do not result in reduced emissions, it will be presented as 0.</t>
  </si>
  <si>
    <r>
      <t>6 - The figures for Avoided Emissions in kg CO</t>
    </r>
    <r>
      <rPr>
        <vertAlign val="subscript"/>
        <sz val="11"/>
        <rFont val="Calibri"/>
        <family val="2"/>
        <scheme val="minor"/>
      </rPr>
      <t>2</t>
    </r>
    <r>
      <rPr>
        <sz val="11"/>
        <rFont val="Calibri"/>
        <family val="2"/>
        <scheme val="minor"/>
      </rPr>
      <t>eq/kg Product and Global Reduction Potential show the results across all pathways</t>
    </r>
  </si>
  <si>
    <r>
      <t>kg CO</t>
    </r>
    <r>
      <rPr>
        <b/>
        <vertAlign val="subscript"/>
        <sz val="11"/>
        <color theme="1"/>
        <rFont val="Calibri"/>
        <family val="2"/>
        <scheme val="minor"/>
      </rPr>
      <t>2</t>
    </r>
    <r>
      <rPr>
        <b/>
        <sz val="11"/>
        <color theme="1"/>
        <rFont val="Calibri"/>
        <family val="2"/>
        <scheme val="minor"/>
      </rPr>
      <t>eq/kg Product</t>
    </r>
  </si>
  <si>
    <r>
      <t>kg CO</t>
    </r>
    <r>
      <rPr>
        <sz val="11"/>
        <color theme="1"/>
        <rFont val="Calibri"/>
        <family val="2"/>
      </rPr>
      <t>₂</t>
    </r>
    <r>
      <rPr>
        <sz val="11"/>
        <color theme="1"/>
        <rFont val="Calibri"/>
        <family val="2"/>
        <scheme val="minor"/>
      </rPr>
      <t>eq avoided/kg product</t>
    </r>
  </si>
  <si>
    <r>
      <t>Gt CO</t>
    </r>
    <r>
      <rPr>
        <sz val="11"/>
        <color theme="1"/>
        <rFont val="Calibri"/>
        <family val="2"/>
      </rPr>
      <t>₂</t>
    </r>
    <r>
      <rPr>
        <sz val="11"/>
        <color theme="1"/>
        <rFont val="Calibri"/>
        <family val="2"/>
        <scheme val="minor"/>
      </rPr>
      <t>eq</t>
    </r>
  </si>
  <si>
    <r>
      <t>kg CO</t>
    </r>
    <r>
      <rPr>
        <b/>
        <vertAlign val="subscript"/>
        <sz val="11"/>
        <color theme="1"/>
        <rFont val="Calibri"/>
        <family val="2"/>
        <scheme val="minor"/>
      </rPr>
      <t>2</t>
    </r>
    <r>
      <rPr>
        <b/>
        <sz val="11"/>
        <color theme="1"/>
        <rFont val="Calibri"/>
        <family val="2"/>
        <scheme val="minor"/>
      </rPr>
      <t>eq/kg CO</t>
    </r>
    <r>
      <rPr>
        <b/>
        <vertAlign val="subscript"/>
        <sz val="11"/>
        <color theme="1"/>
        <rFont val="Calibri"/>
        <family val="2"/>
        <scheme val="minor"/>
      </rPr>
      <t>2</t>
    </r>
    <r>
      <rPr>
        <b/>
        <sz val="11"/>
        <color theme="1"/>
        <rFont val="Calibri"/>
        <family val="2"/>
        <scheme val="minor"/>
      </rPr>
      <t xml:space="preserve"> conv</t>
    </r>
  </si>
  <si>
    <t>Data from the other tabs</t>
  </si>
  <si>
    <t>kg CH4/kg MeOH</t>
  </si>
  <si>
    <t>kg CO/kg MeOH</t>
  </si>
  <si>
    <t>kg CO2/kg MeOH</t>
  </si>
  <si>
    <t>kg CO2unconv/kg MeOH</t>
  </si>
  <si>
    <t>kgCO2unconv/kg MeOH</t>
  </si>
  <si>
    <t>kg CO2eq/kg Product</t>
  </si>
  <si>
    <t>kg CO2eq/kg CO2 Converted</t>
  </si>
  <si>
    <t>kg CO2eq/MJ Product</t>
  </si>
  <si>
    <t>kg H2/kg MeOH</t>
  </si>
  <si>
    <t>k gCO2eq/MJ Product</t>
  </si>
  <si>
    <t>kg CO2eq/kg methane</t>
  </si>
  <si>
    <t>kg CO2/kgCH4</t>
  </si>
  <si>
    <t>kg H2/kg CH4</t>
  </si>
  <si>
    <t>kg CO2/kg CH4</t>
  </si>
  <si>
    <t>kg H2/kg methanol</t>
  </si>
  <si>
    <t>kg CO2/MJ diesel</t>
  </si>
  <si>
    <t>kg CO2e/kg diesel</t>
  </si>
  <si>
    <t>kg CO2uconv/kg etOH</t>
  </si>
  <si>
    <t>kg H2/kg diesel</t>
  </si>
  <si>
    <t>kg CO2eq/kgH2</t>
  </si>
  <si>
    <t>kg CO2eq/kg H2</t>
  </si>
  <si>
    <t>kg CO2eq/MJ</t>
  </si>
  <si>
    <t>kg CO2e/kg MeOH</t>
  </si>
  <si>
    <t>kg CO2eq/kWh</t>
  </si>
  <si>
    <t>kg CO2eq/kg CO2conv</t>
  </si>
  <si>
    <t>Gt CO2eq</t>
  </si>
  <si>
    <t>kg CO2e/MJ product</t>
  </si>
  <si>
    <t>kg CO2eq/kg CO2 conv</t>
  </si>
  <si>
    <t>kg CO2 unconv/g MeOH</t>
  </si>
  <si>
    <t>kg N2O/kg MeOH</t>
  </si>
  <si>
    <t>kg CO2eq/kg MeOH</t>
  </si>
  <si>
    <t>kg CO2unconv/MeOH</t>
  </si>
  <si>
    <t>kg NG/kg MeOH</t>
  </si>
  <si>
    <t>kgCO2unconv/kg CH4</t>
  </si>
  <si>
    <t>MJ/kg CH4</t>
  </si>
  <si>
    <t>kg N2O/kg CH4</t>
  </si>
  <si>
    <t>kg CH4/kg CH4</t>
  </si>
  <si>
    <t>kg CO2eq/kg CH4</t>
  </si>
  <si>
    <t>kg CO2 unconv/kg CH4</t>
  </si>
  <si>
    <t>kg NG/kg CH4</t>
  </si>
  <si>
    <t>kg CO2/kg Biodiesel</t>
  </si>
  <si>
    <t>kg CO2eq/kg Magnesite</t>
  </si>
  <si>
    <t>kg CO2eq/kg Diesel</t>
  </si>
  <si>
    <t>kg CO2eq/kg Ethanol</t>
  </si>
  <si>
    <t>kg CO2eq/kg Methane</t>
  </si>
  <si>
    <t>kg CO2e/kg Methanol</t>
  </si>
  <si>
    <r>
      <t>kg CO</t>
    </r>
    <r>
      <rPr>
        <vertAlign val="subscript"/>
        <sz val="11"/>
        <color theme="1"/>
        <rFont val="Calibri"/>
        <family val="2"/>
        <scheme val="minor"/>
      </rPr>
      <t>2</t>
    </r>
    <r>
      <rPr>
        <sz val="11"/>
        <color theme="1"/>
        <rFont val="Calibri"/>
        <family val="2"/>
        <scheme val="minor"/>
      </rPr>
      <t>eq/kWh</t>
    </r>
  </si>
  <si>
    <r>
      <t>kg CO</t>
    </r>
    <r>
      <rPr>
        <vertAlign val="subscript"/>
        <sz val="11"/>
        <color theme="1"/>
        <rFont val="Calibri"/>
        <family val="2"/>
        <scheme val="minor"/>
      </rPr>
      <t>2</t>
    </r>
    <r>
      <rPr>
        <sz val="11"/>
        <color theme="1"/>
        <rFont val="Calibri"/>
        <family val="2"/>
        <scheme val="minor"/>
      </rPr>
      <t>eq/MJ</t>
    </r>
  </si>
  <si>
    <r>
      <t>kg CO</t>
    </r>
    <r>
      <rPr>
        <vertAlign val="subscript"/>
        <sz val="11"/>
        <color theme="1"/>
        <rFont val="Calibri"/>
        <family val="2"/>
        <scheme val="minor"/>
      </rPr>
      <t>2</t>
    </r>
    <r>
      <rPr>
        <sz val="11"/>
        <color theme="1"/>
        <rFont val="Calibri"/>
        <family val="2"/>
        <scheme val="minor"/>
      </rPr>
      <t>eq/kg H2</t>
    </r>
  </si>
  <si>
    <r>
      <t>kg CO</t>
    </r>
    <r>
      <rPr>
        <vertAlign val="subscript"/>
        <sz val="11"/>
        <color theme="1"/>
        <rFont val="Calibri"/>
        <family val="2"/>
        <scheme val="minor"/>
      </rPr>
      <t>2</t>
    </r>
    <r>
      <rPr>
        <sz val="11"/>
        <color theme="1"/>
        <rFont val="Calibri"/>
        <family val="2"/>
        <scheme val="minor"/>
      </rPr>
      <t>eq/kgCO</t>
    </r>
    <r>
      <rPr>
        <vertAlign val="subscript"/>
        <sz val="11"/>
        <color theme="1"/>
        <rFont val="Calibri"/>
        <family val="2"/>
        <scheme val="minor"/>
      </rPr>
      <t>2</t>
    </r>
    <r>
      <rPr>
        <sz val="11"/>
        <color theme="1"/>
        <rFont val="Calibri"/>
        <family val="2"/>
        <scheme val="minor"/>
      </rPr>
      <t xml:space="preserve"> Captured</t>
    </r>
  </si>
  <si>
    <r>
      <t>kg CO</t>
    </r>
    <r>
      <rPr>
        <vertAlign val="subscript"/>
        <sz val="11"/>
        <color theme="1"/>
        <rFont val="Calibri"/>
        <family val="2"/>
        <scheme val="minor"/>
      </rPr>
      <t>2</t>
    </r>
    <r>
      <rPr>
        <sz val="11"/>
        <color theme="1"/>
        <rFont val="Calibri"/>
        <family val="2"/>
        <scheme val="minor"/>
      </rPr>
      <t>/kg CH</t>
    </r>
    <r>
      <rPr>
        <vertAlign val="subscript"/>
        <sz val="11"/>
        <color theme="1"/>
        <rFont val="Calibri"/>
        <family val="2"/>
        <scheme val="minor"/>
      </rPr>
      <t>4</t>
    </r>
  </si>
  <si>
    <r>
      <t>kg CO</t>
    </r>
    <r>
      <rPr>
        <vertAlign val="subscript"/>
        <sz val="12"/>
        <color theme="1"/>
        <rFont val="Calibri"/>
        <family val="2"/>
        <scheme val="minor"/>
      </rPr>
      <t>2</t>
    </r>
    <r>
      <rPr>
        <sz val="12"/>
        <color theme="1"/>
        <rFont val="Calibri"/>
        <family val="2"/>
        <scheme val="minor"/>
      </rPr>
      <t>/kg methanol</t>
    </r>
  </si>
  <si>
    <r>
      <t>kg CO</t>
    </r>
    <r>
      <rPr>
        <vertAlign val="subscript"/>
        <sz val="11"/>
        <color theme="1"/>
        <rFont val="Calibri"/>
        <family val="2"/>
        <scheme val="minor"/>
      </rPr>
      <t>2</t>
    </r>
    <r>
      <rPr>
        <sz val="11"/>
        <color theme="1"/>
        <rFont val="Calibri"/>
        <family val="2"/>
        <scheme val="minor"/>
      </rPr>
      <t>/kg diesel</t>
    </r>
  </si>
  <si>
    <r>
      <t>kg CO</t>
    </r>
    <r>
      <rPr>
        <vertAlign val="subscript"/>
        <sz val="11"/>
        <color theme="1"/>
        <rFont val="Calibri"/>
        <family val="2"/>
        <scheme val="minor"/>
      </rPr>
      <t>2</t>
    </r>
    <r>
      <rPr>
        <sz val="11"/>
        <color theme="1"/>
        <rFont val="Calibri"/>
        <family val="2"/>
        <scheme val="minor"/>
      </rPr>
      <t>/kg ethanol</t>
    </r>
  </si>
  <si>
    <r>
      <t>kg CO</t>
    </r>
    <r>
      <rPr>
        <vertAlign val="subscript"/>
        <sz val="11"/>
        <color theme="1"/>
        <rFont val="Calibri"/>
        <family val="2"/>
        <scheme val="minor"/>
      </rPr>
      <t>2</t>
    </r>
    <r>
      <rPr>
        <sz val="11"/>
        <color theme="1"/>
        <rFont val="Calibri"/>
        <family val="2"/>
        <scheme val="minor"/>
      </rPr>
      <t>/MJ Hexane</t>
    </r>
  </si>
  <si>
    <r>
      <t>kg CO</t>
    </r>
    <r>
      <rPr>
        <vertAlign val="subscript"/>
        <sz val="11"/>
        <color theme="1"/>
        <rFont val="Calibri"/>
        <family val="2"/>
        <scheme val="minor"/>
      </rPr>
      <t>2</t>
    </r>
    <r>
      <rPr>
        <sz val="11"/>
        <color theme="1"/>
        <rFont val="Calibri"/>
        <family val="2"/>
        <scheme val="minor"/>
      </rPr>
      <t>/kg Methanol</t>
    </r>
  </si>
  <si>
    <t>MJ/kg Methanol production</t>
  </si>
  <si>
    <r>
      <t>kg CO</t>
    </r>
    <r>
      <rPr>
        <vertAlign val="subscript"/>
        <sz val="11"/>
        <color theme="1"/>
        <rFont val="Calibri"/>
        <family val="2"/>
        <scheme val="minor"/>
      </rPr>
      <t>2</t>
    </r>
    <r>
      <rPr>
        <sz val="11"/>
        <color theme="1"/>
        <rFont val="Calibri"/>
        <family val="2"/>
        <scheme val="minor"/>
      </rPr>
      <t>/kg Biodiesel</t>
    </r>
  </si>
  <si>
    <r>
      <t>kg CO</t>
    </r>
    <r>
      <rPr>
        <vertAlign val="subscript"/>
        <sz val="11"/>
        <color theme="1"/>
        <rFont val="Calibri"/>
        <family val="2"/>
        <scheme val="minor"/>
      </rPr>
      <t>2</t>
    </r>
    <r>
      <rPr>
        <sz val="11"/>
        <color theme="1"/>
        <rFont val="Calibri"/>
        <family val="2"/>
        <scheme val="minor"/>
      </rPr>
      <t>eq/kg</t>
    </r>
  </si>
  <si>
    <r>
      <t>kg CO</t>
    </r>
    <r>
      <rPr>
        <vertAlign val="subscript"/>
        <sz val="11"/>
        <color theme="1"/>
        <rFont val="Calibri"/>
        <family val="2"/>
        <scheme val="minor"/>
      </rPr>
      <t>2</t>
    </r>
    <r>
      <rPr>
        <sz val="11"/>
        <color theme="1"/>
        <rFont val="Calibri"/>
        <family val="2"/>
        <scheme val="minor"/>
      </rPr>
      <t>eq/MJ cooling energy</t>
    </r>
  </si>
  <si>
    <r>
      <t>kg CO</t>
    </r>
    <r>
      <rPr>
        <vertAlign val="subscript"/>
        <sz val="11"/>
        <color theme="1"/>
        <rFont val="Calibri"/>
        <family val="2"/>
        <scheme val="minor"/>
      </rPr>
      <t>2</t>
    </r>
    <r>
      <rPr>
        <sz val="11"/>
        <color theme="1"/>
        <rFont val="Calibri"/>
        <family val="2"/>
        <scheme val="minor"/>
      </rPr>
      <t>eq/kgCH4</t>
    </r>
  </si>
  <si>
    <r>
      <t>kg CO</t>
    </r>
    <r>
      <rPr>
        <vertAlign val="subscript"/>
        <sz val="11"/>
        <color theme="1"/>
        <rFont val="Calibri"/>
        <family val="2"/>
        <scheme val="minor"/>
      </rPr>
      <t>2</t>
    </r>
    <r>
      <rPr>
        <sz val="11"/>
        <color theme="1"/>
        <rFont val="Calibri"/>
        <family val="2"/>
        <scheme val="minor"/>
      </rPr>
      <t>eq/m</t>
    </r>
    <r>
      <rPr>
        <vertAlign val="superscript"/>
        <sz val="11"/>
        <color theme="1"/>
        <rFont val="Calibri"/>
        <family val="2"/>
        <scheme val="minor"/>
      </rPr>
      <t>3</t>
    </r>
  </si>
  <si>
    <r>
      <t>kg CO</t>
    </r>
    <r>
      <rPr>
        <vertAlign val="subscript"/>
        <sz val="11"/>
        <color theme="1"/>
        <rFont val="Calibri"/>
        <family val="2"/>
        <scheme val="minor"/>
      </rPr>
      <t>2</t>
    </r>
    <r>
      <rPr>
        <sz val="11"/>
        <color theme="1"/>
        <rFont val="Calibri"/>
        <family val="2"/>
        <scheme val="minor"/>
      </rPr>
      <t>eq/kg NG</t>
    </r>
  </si>
  <si>
    <r>
      <t>kg CO</t>
    </r>
    <r>
      <rPr>
        <vertAlign val="subscript"/>
        <sz val="11"/>
        <color theme="1"/>
        <rFont val="Calibri"/>
        <family val="2"/>
        <scheme val="minor"/>
      </rPr>
      <t>2</t>
    </r>
    <r>
      <rPr>
        <sz val="11"/>
        <color theme="1"/>
        <rFont val="Calibri"/>
        <family val="2"/>
        <scheme val="minor"/>
      </rPr>
      <t>eq/kg Hard Coal</t>
    </r>
  </si>
  <si>
    <r>
      <t>kg CO</t>
    </r>
    <r>
      <rPr>
        <vertAlign val="subscript"/>
        <sz val="11"/>
        <color theme="1"/>
        <rFont val="Calibri"/>
        <family val="2"/>
        <scheme val="minor"/>
      </rPr>
      <t>2</t>
    </r>
    <r>
      <rPr>
        <sz val="11"/>
        <color theme="1"/>
        <rFont val="Calibri"/>
        <family val="2"/>
        <scheme val="minor"/>
      </rPr>
      <t>eq/MJ Hard Coal</t>
    </r>
  </si>
  <si>
    <r>
      <t>kg CO</t>
    </r>
    <r>
      <rPr>
        <vertAlign val="subscript"/>
        <sz val="11"/>
        <color theme="1"/>
        <rFont val="Calibri"/>
        <family val="2"/>
        <scheme val="minor"/>
      </rPr>
      <t>2</t>
    </r>
    <r>
      <rPr>
        <sz val="11"/>
        <color theme="1"/>
        <rFont val="Calibri"/>
        <family val="2"/>
        <scheme val="minor"/>
      </rPr>
      <t>eq/kg Oil</t>
    </r>
  </si>
  <si>
    <r>
      <t>kg CO</t>
    </r>
    <r>
      <rPr>
        <vertAlign val="subscript"/>
        <sz val="11"/>
        <color theme="1"/>
        <rFont val="Calibri"/>
        <family val="2"/>
        <scheme val="minor"/>
      </rPr>
      <t>2</t>
    </r>
    <r>
      <rPr>
        <sz val="11"/>
        <color theme="1"/>
        <rFont val="Calibri"/>
        <family val="2"/>
        <scheme val="minor"/>
      </rPr>
      <t>eq/MJ Oil</t>
    </r>
  </si>
  <si>
    <r>
      <t>kg CO</t>
    </r>
    <r>
      <rPr>
        <vertAlign val="subscript"/>
        <sz val="12"/>
        <color theme="1"/>
        <rFont val="Calibri"/>
        <family val="2"/>
        <scheme val="minor"/>
      </rPr>
      <t>2</t>
    </r>
    <r>
      <rPr>
        <sz val="12"/>
        <color theme="1"/>
        <rFont val="Calibri"/>
        <family val="2"/>
        <scheme val="minor"/>
      </rPr>
      <t>eq/kg</t>
    </r>
  </si>
  <si>
    <t>2 - In Figure 2, the incumbent technology is a point estimate of a conventional production method. The emission factors selected in the General Assumptions are applied to the incumbent technologies to maintain consistency. Importantly, even though it is possible to change the intensities of inputs for incumbent fuels , the incumbent technology estimate does not cover the full range of possible technologies that CCU pathways will compete against in the future. Competitors were not considered. This will be expanded in future work.</t>
  </si>
  <si>
    <r>
      <t>kg CO</t>
    </r>
    <r>
      <rPr>
        <vertAlign val="subscript"/>
        <sz val="12"/>
        <color theme="1"/>
        <rFont val="Calibri"/>
        <family val="2"/>
        <scheme val="minor"/>
      </rPr>
      <t>2</t>
    </r>
    <r>
      <rPr>
        <sz val="12"/>
        <color theme="1"/>
        <rFont val="Calibri"/>
        <family val="2"/>
        <scheme val="minor"/>
      </rPr>
      <t xml:space="preserve"> eq/kWh</t>
    </r>
  </si>
  <si>
    <r>
      <t>kg CO</t>
    </r>
    <r>
      <rPr>
        <vertAlign val="subscript"/>
        <sz val="12"/>
        <color theme="1"/>
        <rFont val="Calibri"/>
        <family val="2"/>
        <scheme val="minor"/>
      </rPr>
      <t>2</t>
    </r>
    <r>
      <rPr>
        <sz val="12"/>
        <color theme="1"/>
        <rFont val="Calibri"/>
        <family val="2"/>
        <scheme val="minor"/>
      </rPr>
      <t>Captured</t>
    </r>
  </si>
  <si>
    <t>The LCA Estimate Model for CCU is an Excel-based model that estimates the GHG emissions associated with carbon capture and utilization pathways. Five different pathways are displayed as examples.</t>
  </si>
  <si>
    <t>In these tabs, constants, upstream emissions factors, process correlations and energy conversion factors are listed.</t>
  </si>
  <si>
    <r>
      <t>kg CO</t>
    </r>
    <r>
      <rPr>
        <vertAlign val="subscript"/>
        <sz val="11"/>
        <color theme="1"/>
        <rFont val="Calibri"/>
        <family val="2"/>
        <scheme val="minor"/>
      </rPr>
      <t>2</t>
    </r>
    <r>
      <rPr>
        <sz val="11"/>
        <color theme="1"/>
        <rFont val="Calibri"/>
        <family val="2"/>
        <scheme val="minor"/>
      </rPr>
      <t>/kg CO</t>
    </r>
  </si>
  <si>
    <r>
      <t>kg CO</t>
    </r>
    <r>
      <rPr>
        <vertAlign val="subscript"/>
        <sz val="11"/>
        <color theme="1"/>
        <rFont val="Calibri"/>
        <family val="2"/>
        <scheme val="minor"/>
      </rPr>
      <t>2</t>
    </r>
    <r>
      <rPr>
        <sz val="11"/>
        <color theme="1"/>
        <rFont val="Calibri"/>
        <family val="2"/>
        <scheme val="minor"/>
      </rPr>
      <t>eq/m</t>
    </r>
    <r>
      <rPr>
        <vertAlign val="superscript"/>
        <sz val="11"/>
        <color theme="1"/>
        <rFont val="Calibri"/>
        <family val="2"/>
        <scheme val="minor"/>
      </rPr>
      <t>3</t>
    </r>
    <r>
      <rPr>
        <sz val="11"/>
        <color theme="1"/>
        <rFont val="Calibri"/>
        <family val="2"/>
        <scheme val="minor"/>
      </rPr>
      <t xml:space="preserve"> CH</t>
    </r>
    <r>
      <rPr>
        <vertAlign val="subscript"/>
        <sz val="11"/>
        <color theme="1"/>
        <rFont val="Calibri"/>
        <family val="2"/>
        <scheme val="minor"/>
      </rPr>
      <t>4</t>
    </r>
  </si>
  <si>
    <t>US. EPA assumes natural gas fuel and 80% of</t>
  </si>
  <si>
    <t>NIST Chemistry WebBook</t>
  </si>
  <si>
    <t>Low carbon end use</t>
  </si>
  <si>
    <t>High carbon end use</t>
  </si>
  <si>
    <t>Pan et al., 2016</t>
  </si>
  <si>
    <t>NG end use</t>
  </si>
  <si>
    <t>Pan, S.-Y., Lafuente, A.M.L., and Chiang, P.-C. 2016. Engineering, environmental and economic performance evaluation of high-gravity carbonation process for carbon capture and utilization. Applied Energy, vol. 170, p. 269–277.</t>
  </si>
  <si>
    <t>CO₂ Mineralization</t>
  </si>
  <si>
    <t>2. Emissions per kg of CWM</t>
  </si>
  <si>
    <t>(heating)</t>
  </si>
  <si>
    <t>kg CO2 unconv/kg syngas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</si>
</sst>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
    <numFmt numFmtId="165" formatCode="0.0000"/>
    <numFmt numFmtId="166" formatCode="0.0"/>
    <numFmt numFmtId="167" formatCode="0.00000"/>
    <numFmt numFmtId="168" formatCode="0.0E+00"/>
  </numFmts>
  <fonts count="43" x14ac:knownFonts="1">
    <font>
      <sz val="11"/>
      <color theme="1"/>
      <name val="Calibri"/>
      <family val="2"/>
      <scheme val="minor"/>
    </font>
    <font>
      <sz val="12"/>
      <color theme="1"/>
      <name val="Calibri"/>
      <family val="2"/>
      <scheme val="minor"/>
    </font>
    <font>
      <b/>
      <sz val="11"/>
      <color theme="1"/>
      <name val="Calibri"/>
      <family val="2"/>
      <scheme val="minor"/>
    </font>
    <font>
      <b/>
      <sz val="12"/>
      <color theme="1"/>
      <name val="Calibri"/>
      <family val="2"/>
      <scheme val="minor"/>
    </font>
    <font>
      <b/>
      <sz val="20"/>
      <color theme="1"/>
      <name val="Calibri"/>
      <family val="2"/>
      <scheme val="minor"/>
    </font>
    <font>
      <b/>
      <sz val="9"/>
      <color indexed="81"/>
      <name val="Tahoma"/>
      <family val="2"/>
    </font>
    <font>
      <sz val="9"/>
      <color indexed="81"/>
      <name val="Tahoma"/>
      <family val="2"/>
    </font>
    <font>
      <sz val="12"/>
      <color theme="1"/>
      <name val="Calibri"/>
      <family val="2"/>
      <scheme val="minor"/>
    </font>
    <font>
      <sz val="10"/>
      <color rgb="FF242729"/>
      <name val="Consolas"/>
      <family val="3"/>
    </font>
    <font>
      <u/>
      <sz val="11"/>
      <color theme="10"/>
      <name val="Calibri"/>
      <family val="2"/>
      <scheme val="minor"/>
    </font>
    <font>
      <sz val="11"/>
      <color theme="1"/>
      <name val="Calibri"/>
      <family val="2"/>
      <scheme val="minor"/>
    </font>
    <font>
      <sz val="10"/>
      <name val="Arial"/>
      <family val="2"/>
    </font>
    <font>
      <sz val="11"/>
      <name val="Calibri"/>
      <family val="2"/>
      <scheme val="minor"/>
    </font>
    <font>
      <sz val="11"/>
      <color theme="0"/>
      <name val="Calibri"/>
      <family val="2"/>
      <scheme val="minor"/>
    </font>
    <font>
      <sz val="13"/>
      <color theme="1"/>
      <name val="Calibri"/>
      <family val="2"/>
      <scheme val="minor"/>
    </font>
    <font>
      <b/>
      <sz val="20"/>
      <color theme="0"/>
      <name val="Calibri"/>
      <family val="2"/>
      <scheme val="minor"/>
    </font>
    <font>
      <b/>
      <sz val="22"/>
      <color theme="0"/>
      <name val="Calibri"/>
      <family val="2"/>
      <scheme val="minor"/>
    </font>
    <font>
      <b/>
      <sz val="14"/>
      <color theme="0"/>
      <name val="Calibri"/>
      <family val="2"/>
      <scheme val="minor"/>
    </font>
    <font>
      <sz val="12"/>
      <color theme="0"/>
      <name val="Calibri"/>
      <family val="2"/>
      <scheme val="minor"/>
    </font>
    <font>
      <b/>
      <sz val="11"/>
      <color theme="0"/>
      <name val="Calibri"/>
      <family val="2"/>
      <scheme val="minor"/>
    </font>
    <font>
      <b/>
      <sz val="12"/>
      <color theme="0"/>
      <name val="Calibri"/>
      <family val="2"/>
      <scheme val="minor"/>
    </font>
    <font>
      <sz val="11"/>
      <color theme="7" tint="0.39997558519241921"/>
      <name val="Calibri"/>
      <family val="2"/>
      <scheme val="minor"/>
    </font>
    <font>
      <b/>
      <sz val="11"/>
      <name val="Calibri"/>
      <family val="2"/>
      <scheme val="minor"/>
    </font>
    <font>
      <b/>
      <sz val="11"/>
      <color theme="7" tint="0.39997558519241921"/>
      <name val="Calibri"/>
      <family val="2"/>
      <scheme val="minor"/>
    </font>
    <font>
      <vertAlign val="subscript"/>
      <sz val="11"/>
      <name val="Calibri"/>
      <family val="2"/>
      <scheme val="minor"/>
    </font>
    <font>
      <sz val="10"/>
      <name val="Calibri"/>
      <family val="2"/>
      <scheme val="minor"/>
    </font>
    <font>
      <sz val="14"/>
      <color theme="1"/>
      <name val="Calibri"/>
      <family val="2"/>
      <scheme val="minor"/>
    </font>
    <font>
      <sz val="11"/>
      <color rgb="FFFF0000"/>
      <name val="Calibri"/>
      <family val="2"/>
      <scheme val="minor"/>
    </font>
    <font>
      <sz val="12"/>
      <color rgb="FFFF0000"/>
      <name val="Calibri"/>
      <family val="2"/>
      <scheme val="minor"/>
    </font>
    <font>
      <b/>
      <sz val="12"/>
      <name val="Calibri"/>
      <family val="2"/>
      <scheme val="minor"/>
    </font>
    <font>
      <sz val="8"/>
      <color rgb="FF000000"/>
      <name val="Segoe UI"/>
      <family val="2"/>
    </font>
    <font>
      <b/>
      <sz val="14"/>
      <color rgb="FF000000"/>
      <name val="Calibri"/>
      <family val="2"/>
    </font>
    <font>
      <sz val="12"/>
      <name val="Calibri"/>
      <family val="2"/>
      <scheme val="minor"/>
    </font>
    <font>
      <vertAlign val="subscript"/>
      <sz val="12"/>
      <color theme="1"/>
      <name val="Calibri"/>
      <family val="2"/>
      <scheme val="minor"/>
    </font>
    <font>
      <vertAlign val="subscript"/>
      <sz val="11"/>
      <color theme="1"/>
      <name val="Calibri"/>
      <family val="2"/>
      <scheme val="minor"/>
    </font>
    <font>
      <b/>
      <vertAlign val="subscript"/>
      <sz val="14"/>
      <color theme="0"/>
      <name val="Calibri"/>
      <family val="2"/>
      <scheme val="minor"/>
    </font>
    <font>
      <b/>
      <vertAlign val="subscript"/>
      <sz val="12"/>
      <name val="Calibri"/>
      <family val="2"/>
      <scheme val="minor"/>
    </font>
    <font>
      <b/>
      <vertAlign val="subscript"/>
      <sz val="20"/>
      <color theme="0"/>
      <name val="Calibri"/>
      <family val="2"/>
      <scheme val="minor"/>
    </font>
    <font>
      <sz val="11"/>
      <color theme="1"/>
      <name val="Calibri"/>
      <family val="2"/>
    </font>
    <font>
      <b/>
      <sz val="11"/>
      <color theme="0"/>
      <name val="Calibri"/>
      <family val="2"/>
    </font>
    <font>
      <b/>
      <vertAlign val="subscript"/>
      <sz val="12"/>
      <color theme="1"/>
      <name val="Calibri"/>
      <family val="2"/>
      <scheme val="minor"/>
    </font>
    <font>
      <vertAlign val="superscript"/>
      <sz val="11"/>
      <color theme="1"/>
      <name val="Calibri"/>
      <family val="2"/>
      <scheme val="minor"/>
    </font>
    <font>
      <b/>
      <vertAlign val="subscript"/>
      <sz val="11"/>
      <color theme="1"/>
      <name val="Calibri"/>
      <family val="2"/>
      <scheme val="minor"/>
    </font>
  </fonts>
  <fills count="22">
    <fill>
      <patternFill patternType="none"/>
    </fill>
    <fill>
      <patternFill patternType="gray125"/>
    </fill>
    <fill>
      <patternFill patternType="solid">
        <fgColor rgb="FFFFFF00"/>
        <bgColor indexed="64"/>
      </patternFill>
    </fill>
    <fill>
      <patternFill patternType="solid">
        <fgColor theme="2" tint="-9.9978637043366805E-2"/>
        <bgColor indexed="64"/>
      </patternFill>
    </fill>
    <fill>
      <patternFill patternType="solid">
        <fgColor theme="8"/>
        <bgColor indexed="64"/>
      </patternFill>
    </fill>
    <fill>
      <patternFill patternType="solid">
        <fgColor theme="7"/>
        <bgColor indexed="64"/>
      </patternFill>
    </fill>
    <fill>
      <patternFill patternType="solid">
        <fgColor theme="6"/>
        <bgColor indexed="64"/>
      </patternFill>
    </fill>
    <fill>
      <patternFill patternType="solid">
        <fgColor theme="2"/>
        <bgColor indexed="64"/>
      </patternFill>
    </fill>
    <fill>
      <patternFill patternType="solid">
        <fgColor rgb="FFFF99FF"/>
        <bgColor indexed="64"/>
      </patternFill>
    </fill>
    <fill>
      <patternFill patternType="solid">
        <fgColor rgb="FF00FF00"/>
        <bgColor indexed="64"/>
      </patternFill>
    </fill>
    <fill>
      <patternFill patternType="solid">
        <fgColor theme="0" tint="-0.34998626667073579"/>
        <bgColor indexed="64"/>
      </patternFill>
    </fill>
    <fill>
      <patternFill patternType="solid">
        <fgColor theme="0"/>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C00000"/>
        <bgColor indexed="64"/>
      </patternFill>
    </fill>
    <fill>
      <patternFill patternType="solid">
        <fgColor theme="1"/>
        <bgColor indexed="64"/>
      </patternFill>
    </fill>
    <fill>
      <patternFill patternType="solid">
        <fgColor theme="9" tint="0.79998168889431442"/>
        <bgColor indexed="64"/>
      </patternFill>
    </fill>
    <fill>
      <patternFill patternType="solid">
        <fgColor rgb="FFFF0000"/>
        <bgColor indexed="64"/>
      </patternFill>
    </fill>
    <fill>
      <patternFill patternType="solid">
        <fgColor theme="4"/>
        <bgColor indexed="64"/>
      </patternFill>
    </fill>
    <fill>
      <patternFill patternType="solid">
        <fgColor theme="9"/>
        <bgColor indexed="64"/>
      </patternFill>
    </fill>
    <fill>
      <patternFill patternType="solid">
        <fgColor theme="0" tint="-0.499984740745262"/>
        <bgColor indexed="64"/>
      </patternFill>
    </fill>
    <fill>
      <patternFill patternType="solid">
        <fgColor rgb="FFFFC000"/>
        <bgColor indexed="64"/>
      </patternFill>
    </fill>
  </fills>
  <borders count="47">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auto="1"/>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top style="thin">
        <color auto="1"/>
      </top>
      <bottom style="thin">
        <color indexed="64"/>
      </bottom>
      <diagonal/>
    </border>
    <border>
      <left/>
      <right style="thin">
        <color indexed="64"/>
      </right>
      <top style="thin">
        <color indexed="64"/>
      </top>
      <bottom style="thin">
        <color indexed="64"/>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top style="thin">
        <color indexed="64"/>
      </top>
      <bottom style="thin">
        <color indexed="64"/>
      </bottom>
      <diagonal/>
    </border>
    <border>
      <left/>
      <right style="medium">
        <color indexed="64"/>
      </right>
      <top/>
      <bottom style="medium">
        <color indexed="64"/>
      </bottom>
      <diagonal/>
    </border>
    <border>
      <left style="medium">
        <color indexed="64"/>
      </left>
      <right/>
      <top style="thin">
        <color indexed="64"/>
      </top>
      <bottom/>
      <diagonal/>
    </border>
    <border>
      <left style="medium">
        <color indexed="64"/>
      </left>
      <right/>
      <top/>
      <bottom style="thin">
        <color indexed="64"/>
      </bottom>
      <diagonal/>
    </border>
    <border>
      <left style="medium">
        <color rgb="FFC00000"/>
      </left>
      <right/>
      <top style="medium">
        <color rgb="FFC00000"/>
      </top>
      <bottom/>
      <diagonal/>
    </border>
    <border>
      <left/>
      <right/>
      <top style="medium">
        <color rgb="FFC00000"/>
      </top>
      <bottom/>
      <diagonal/>
    </border>
    <border>
      <left/>
      <right style="medium">
        <color rgb="FFC00000"/>
      </right>
      <top style="medium">
        <color rgb="FFC00000"/>
      </top>
      <bottom/>
      <diagonal/>
    </border>
    <border>
      <left style="medium">
        <color rgb="FFC00000"/>
      </left>
      <right/>
      <top/>
      <bottom/>
      <diagonal/>
    </border>
    <border>
      <left/>
      <right style="medium">
        <color rgb="FFC00000"/>
      </right>
      <top/>
      <bottom/>
      <diagonal/>
    </border>
    <border>
      <left style="medium">
        <color rgb="FFC00000"/>
      </left>
      <right/>
      <top/>
      <bottom style="medium">
        <color rgb="FFC00000"/>
      </bottom>
      <diagonal/>
    </border>
    <border>
      <left/>
      <right/>
      <top/>
      <bottom style="medium">
        <color rgb="FFC00000"/>
      </bottom>
      <diagonal/>
    </border>
    <border>
      <left/>
      <right style="medium">
        <color rgb="FFC00000"/>
      </right>
      <top/>
      <bottom style="medium">
        <color rgb="FFC00000"/>
      </bottom>
      <diagonal/>
    </border>
    <border>
      <left style="medium">
        <color indexed="64"/>
      </left>
      <right style="medium">
        <color indexed="64"/>
      </right>
      <top/>
      <bottom/>
      <diagonal/>
    </border>
    <border>
      <left style="thick">
        <color rgb="FFC00000"/>
      </left>
      <right/>
      <top/>
      <bottom/>
      <diagonal/>
    </border>
    <border>
      <left style="thin">
        <color indexed="64"/>
      </left>
      <right/>
      <top style="thin">
        <color indexed="64"/>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diagonal/>
    </border>
    <border>
      <left/>
      <right style="thin">
        <color theme="4" tint="0.39997558519241921"/>
      </right>
      <top/>
      <bottom/>
      <diagonal/>
    </border>
  </borders>
  <cellStyleXfs count="5">
    <xf numFmtId="0" fontId="0" fillId="0" borderId="0"/>
    <xf numFmtId="0" fontId="7" fillId="0" borderId="0"/>
    <xf numFmtId="0" fontId="9" fillId="0" borderId="0" applyNumberFormat="0" applyFill="0" applyBorder="0" applyAlignment="0" applyProtection="0"/>
    <xf numFmtId="0" fontId="10" fillId="0" borderId="0"/>
    <xf numFmtId="0" fontId="11" fillId="0" borderId="0"/>
  </cellStyleXfs>
  <cellXfs count="499">
    <xf numFmtId="0" fontId="0" fillId="0" borderId="0" xfId="0"/>
    <xf numFmtId="0" fontId="3" fillId="0" borderId="0" xfId="0" applyFont="1" applyAlignment="1">
      <alignment horizontal="center" vertical="center"/>
    </xf>
    <xf numFmtId="164" fontId="0" fillId="0" borderId="0" xfId="0" applyNumberForma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5" xfId="0" applyBorder="1" applyAlignment="1">
      <alignment horizontal="center"/>
    </xf>
    <xf numFmtId="0" fontId="0" fillId="0" borderId="2" xfId="0" applyBorder="1" applyAlignment="1">
      <alignment horizontal="center"/>
    </xf>
    <xf numFmtId="0" fontId="0" fillId="0" borderId="3" xfId="0" applyBorder="1" applyAlignment="1">
      <alignment horizontal="center" vertical="center"/>
    </xf>
    <xf numFmtId="0" fontId="0" fillId="0" borderId="7" xfId="0" applyBorder="1"/>
    <xf numFmtId="0" fontId="0" fillId="0" borderId="0" xfId="0" applyBorder="1"/>
    <xf numFmtId="0" fontId="0" fillId="0" borderId="8" xfId="0" applyBorder="1" applyAlignment="1">
      <alignment horizontal="left" vertical="center"/>
    </xf>
    <xf numFmtId="0" fontId="0" fillId="0" borderId="6" xfId="0" applyBorder="1" applyAlignment="1">
      <alignment horizontal="left" vertical="center"/>
    </xf>
    <xf numFmtId="0" fontId="0" fillId="3" borderId="0" xfId="0" applyFill="1"/>
    <xf numFmtId="0" fontId="2" fillId="3" borderId="0" xfId="0" applyFont="1" applyFill="1"/>
    <xf numFmtId="0" fontId="0" fillId="0" borderId="0" xfId="0" applyBorder="1" applyAlignment="1">
      <alignment horizontal="center"/>
    </xf>
    <xf numFmtId="0" fontId="0" fillId="0" borderId="2" xfId="0" applyBorder="1" applyAlignment="1">
      <alignment horizontal="left"/>
    </xf>
    <xf numFmtId="0" fontId="0" fillId="0" borderId="5" xfId="0" applyBorder="1" applyAlignment="1">
      <alignment horizontal="left"/>
    </xf>
    <xf numFmtId="0" fontId="0" fillId="0" borderId="0" xfId="0" applyBorder="1" applyAlignment="1">
      <alignment horizontal="left"/>
    </xf>
    <xf numFmtId="0" fontId="0" fillId="0" borderId="5" xfId="0" applyFill="1" applyBorder="1" applyAlignment="1">
      <alignment horizontal="left"/>
    </xf>
    <xf numFmtId="0" fontId="0" fillId="0" borderId="2" xfId="0" applyBorder="1" applyAlignment="1">
      <alignment horizontal="left" vertical="center"/>
    </xf>
    <xf numFmtId="0" fontId="0" fillId="0" borderId="0" xfId="0" applyBorder="1" applyAlignment="1">
      <alignment horizontal="left" vertical="center"/>
    </xf>
    <xf numFmtId="0" fontId="0" fillId="0" borderId="0" xfId="0" applyFill="1"/>
    <xf numFmtId="0" fontId="0" fillId="0" borderId="8" xfId="0" applyBorder="1"/>
    <xf numFmtId="0" fontId="0" fillId="0" borderId="6" xfId="0" applyBorder="1"/>
    <xf numFmtId="0" fontId="7" fillId="0" borderId="0" xfId="0" applyFont="1" applyAlignment="1">
      <alignment horizontal="left" vertical="center"/>
    </xf>
    <xf numFmtId="0" fontId="0" fillId="0" borderId="0" xfId="0" applyFill="1" applyBorder="1" applyAlignment="1">
      <alignment horizontal="left"/>
    </xf>
    <xf numFmtId="0" fontId="7" fillId="0" borderId="0" xfId="0" applyFont="1" applyAlignment="1">
      <alignment horizontal="center" vertical="center"/>
    </xf>
    <xf numFmtId="0" fontId="0" fillId="0" borderId="0" xfId="0" applyFont="1" applyAlignment="1">
      <alignment horizontal="left" vertical="center"/>
    </xf>
    <xf numFmtId="0" fontId="0" fillId="0" borderId="0" xfId="0" applyFont="1" applyAlignment="1">
      <alignment horizontal="center" vertical="center" wrapText="1"/>
    </xf>
    <xf numFmtId="0" fontId="0" fillId="0" borderId="5" xfId="0" applyBorder="1" applyAlignment="1">
      <alignment horizontal="left" vertical="center"/>
    </xf>
    <xf numFmtId="164" fontId="0" fillId="0" borderId="5" xfId="0" applyNumberFormat="1" applyBorder="1"/>
    <xf numFmtId="0" fontId="0" fillId="0" borderId="9" xfId="0" applyFill="1" applyBorder="1" applyAlignment="1">
      <alignment horizontal="left"/>
    </xf>
    <xf numFmtId="0" fontId="0" fillId="0" borderId="9" xfId="0" applyBorder="1"/>
    <xf numFmtId="164" fontId="0" fillId="0" borderId="9" xfId="0" applyNumberFormat="1" applyBorder="1"/>
    <xf numFmtId="0" fontId="0" fillId="0" borderId="0" xfId="0" applyFont="1" applyAlignment="1">
      <alignment horizontal="left"/>
    </xf>
    <xf numFmtId="164" fontId="0" fillId="4" borderId="0" xfId="0" applyNumberFormat="1" applyFill="1"/>
    <xf numFmtId="0" fontId="0" fillId="6" borderId="0" xfId="0" applyFill="1"/>
    <xf numFmtId="0" fontId="2" fillId="6" borderId="0" xfId="0" applyFont="1" applyFill="1"/>
    <xf numFmtId="0" fontId="2" fillId="6" borderId="0" xfId="0" applyFont="1" applyFill="1" applyBorder="1" applyAlignment="1">
      <alignment horizontal="left"/>
    </xf>
    <xf numFmtId="0" fontId="9" fillId="0" borderId="0" xfId="2"/>
    <xf numFmtId="0" fontId="0" fillId="8" borderId="0" xfId="0" applyFill="1"/>
    <xf numFmtId="0" fontId="0" fillId="8" borderId="9" xfId="0" applyFill="1" applyBorder="1"/>
    <xf numFmtId="164" fontId="0" fillId="8" borderId="5" xfId="0" applyNumberFormat="1" applyFill="1" applyBorder="1"/>
    <xf numFmtId="164" fontId="0" fillId="8" borderId="0" xfId="0" applyNumberFormat="1" applyFill="1" applyBorder="1"/>
    <xf numFmtId="0" fontId="0" fillId="8" borderId="0" xfId="0" applyFill="1" applyBorder="1"/>
    <xf numFmtId="0" fontId="0" fillId="0" borderId="0" xfId="0" applyFont="1" applyAlignment="1">
      <alignment vertical="center" wrapText="1"/>
    </xf>
    <xf numFmtId="0" fontId="0" fillId="0" borderId="9" xfId="0" applyBorder="1" applyAlignment="1">
      <alignment horizontal="left"/>
    </xf>
    <xf numFmtId="164" fontId="0" fillId="0" borderId="9" xfId="0" applyNumberFormat="1" applyFill="1" applyBorder="1"/>
    <xf numFmtId="164" fontId="0" fillId="0" borderId="2" xfId="0" applyNumberFormat="1" applyBorder="1"/>
    <xf numFmtId="164" fontId="0" fillId="4" borderId="2" xfId="0" applyNumberFormat="1" applyFill="1" applyBorder="1"/>
    <xf numFmtId="0" fontId="0" fillId="0" borderId="9" xfId="0" applyFill="1" applyBorder="1" applyAlignment="1">
      <alignment horizontal="left" vertical="center"/>
    </xf>
    <xf numFmtId="0" fontId="0" fillId="9" borderId="0" xfId="0" applyFill="1"/>
    <xf numFmtId="164" fontId="0" fillId="0" borderId="0" xfId="0" applyNumberFormat="1" applyBorder="1"/>
    <xf numFmtId="0" fontId="0" fillId="0" borderId="2" xfId="0" applyFill="1" applyBorder="1" applyAlignment="1">
      <alignment horizontal="left"/>
    </xf>
    <xf numFmtId="0" fontId="0" fillId="0" borderId="2" xfId="0" applyFill="1" applyBorder="1"/>
    <xf numFmtId="0" fontId="0" fillId="0" borderId="0" xfId="0" applyFill="1" applyBorder="1"/>
    <xf numFmtId="2" fontId="0" fillId="0" borderId="0" xfId="0" applyNumberFormat="1"/>
    <xf numFmtId="2" fontId="0" fillId="0" borderId="5" xfId="0" applyNumberFormat="1" applyBorder="1"/>
    <xf numFmtId="2" fontId="0" fillId="0" borderId="2" xfId="0" applyNumberFormat="1" applyBorder="1"/>
    <xf numFmtId="2" fontId="0" fillId="0" borderId="9" xfId="0" applyNumberFormat="1" applyBorder="1"/>
    <xf numFmtId="0" fontId="0" fillId="0" borderId="9" xfId="0" applyFill="1" applyBorder="1"/>
    <xf numFmtId="0" fontId="0" fillId="0" borderId="5" xfId="0" applyFont="1" applyBorder="1" applyAlignment="1">
      <alignment horizontal="left"/>
    </xf>
    <xf numFmtId="164" fontId="0" fillId="8" borderId="0" xfId="0" applyNumberFormat="1" applyFill="1"/>
    <xf numFmtId="164" fontId="0" fillId="0" borderId="0" xfId="0" applyNumberFormat="1" applyFill="1" applyBorder="1"/>
    <xf numFmtId="0" fontId="0" fillId="8" borderId="2" xfId="0" applyFill="1" applyBorder="1"/>
    <xf numFmtId="2" fontId="0" fillId="8" borderId="5" xfId="0" applyNumberFormat="1" applyFill="1" applyBorder="1"/>
    <xf numFmtId="0" fontId="0" fillId="0" borderId="7" xfId="0" applyFont="1" applyBorder="1"/>
    <xf numFmtId="0" fontId="3" fillId="0" borderId="0" xfId="0" applyFont="1" applyAlignment="1">
      <alignment horizontal="center" vertical="center"/>
    </xf>
    <xf numFmtId="164" fontId="0" fillId="8" borderId="9" xfId="0" applyNumberFormat="1" applyFill="1" applyBorder="1"/>
    <xf numFmtId="164" fontId="0" fillId="0" borderId="0" xfId="0" applyNumberFormat="1" applyBorder="1" applyAlignment="1">
      <alignment horizontal="center"/>
    </xf>
    <xf numFmtId="164" fontId="0" fillId="0" borderId="0" xfId="0" applyNumberFormat="1" applyBorder="1" applyAlignment="1">
      <alignment horizontal="right"/>
    </xf>
    <xf numFmtId="164" fontId="0" fillId="0" borderId="0" xfId="0" applyNumberFormat="1" applyAlignment="1">
      <alignment horizontal="center"/>
    </xf>
    <xf numFmtId="0" fontId="3" fillId="0" borderId="0" xfId="0" applyFont="1" applyAlignment="1">
      <alignment horizontal="center" vertical="center"/>
    </xf>
    <xf numFmtId="11" fontId="0" fillId="0" borderId="0" xfId="0" applyNumberFormat="1"/>
    <xf numFmtId="0" fontId="0" fillId="0" borderId="9" xfId="0" applyBorder="1" applyAlignment="1">
      <alignment horizontal="left" vertical="center"/>
    </xf>
    <xf numFmtId="0" fontId="2" fillId="0" borderId="0" xfId="0" applyFont="1"/>
    <xf numFmtId="0" fontId="0" fillId="0" borderId="0" xfId="0" applyNumberFormat="1"/>
    <xf numFmtId="164" fontId="0" fillId="0" borderId="0" xfId="0" applyNumberFormat="1" applyFill="1"/>
    <xf numFmtId="164" fontId="0" fillId="0" borderId="9" xfId="0" applyNumberFormat="1" applyBorder="1" applyAlignment="1">
      <alignment horizontal="center"/>
    </xf>
    <xf numFmtId="164" fontId="0" fillId="0" borderId="0" xfId="0" applyNumberFormat="1" applyFont="1" applyAlignment="1">
      <alignment horizontal="center" vertical="center"/>
    </xf>
    <xf numFmtId="164" fontId="0" fillId="0" borderId="0" xfId="0" applyNumberFormat="1" applyFill="1" applyBorder="1" applyAlignment="1">
      <alignment horizontal="center"/>
    </xf>
    <xf numFmtId="11" fontId="0" fillId="8" borderId="0" xfId="0" applyNumberFormat="1" applyFill="1"/>
    <xf numFmtId="164" fontId="0" fillId="0" borderId="5" xfId="0" applyNumberFormat="1" applyFill="1" applyBorder="1"/>
    <xf numFmtId="0" fontId="2" fillId="0" borderId="0" xfId="0" applyFont="1" applyAlignment="1"/>
    <xf numFmtId="0" fontId="2" fillId="0" borderId="0" xfId="0" applyFont="1" applyBorder="1" applyAlignment="1"/>
    <xf numFmtId="0" fontId="0" fillId="10" borderId="0" xfId="0" applyFill="1"/>
    <xf numFmtId="0" fontId="0" fillId="0" borderId="5" xfId="0" applyFill="1" applyBorder="1"/>
    <xf numFmtId="165" fontId="0" fillId="0" borderId="0" xfId="0" applyNumberFormat="1"/>
    <xf numFmtId="0" fontId="3" fillId="0" borderId="0" xfId="0" applyFont="1"/>
    <xf numFmtId="0" fontId="3" fillId="0" borderId="0" xfId="0" applyFont="1" applyAlignment="1">
      <alignment horizontal="center" vertical="center"/>
    </xf>
    <xf numFmtId="0" fontId="3" fillId="0" borderId="0" xfId="0" applyFont="1" applyAlignment="1">
      <alignment horizontal="center" vertical="center"/>
    </xf>
    <xf numFmtId="164" fontId="0" fillId="12" borderId="5" xfId="0" applyNumberFormat="1" applyFill="1" applyBorder="1"/>
    <xf numFmtId="164" fontId="0" fillId="12" borderId="0" xfId="0" applyNumberFormat="1" applyFill="1"/>
    <xf numFmtId="164" fontId="0" fillId="12" borderId="0" xfId="0" applyNumberFormat="1" applyFill="1" applyBorder="1"/>
    <xf numFmtId="164" fontId="0" fillId="10" borderId="0" xfId="0" applyNumberFormat="1" applyFill="1"/>
    <xf numFmtId="164" fontId="0" fillId="10" borderId="0" xfId="0" applyNumberFormat="1" applyFill="1" applyBorder="1"/>
    <xf numFmtId="164" fontId="0" fillId="10" borderId="9" xfId="0" applyNumberFormat="1" applyFill="1" applyBorder="1"/>
    <xf numFmtId="164" fontId="0" fillId="13" borderId="0" xfId="0" applyNumberFormat="1" applyFill="1"/>
    <xf numFmtId="164" fontId="0" fillId="13" borderId="5" xfId="0" applyNumberFormat="1" applyFill="1" applyBorder="1"/>
    <xf numFmtId="164" fontId="0" fillId="10" borderId="2" xfId="0" applyNumberFormat="1" applyFill="1" applyBorder="1"/>
    <xf numFmtId="164" fontId="0" fillId="2" borderId="9" xfId="0" applyNumberFormat="1" applyFill="1" applyBorder="1"/>
    <xf numFmtId="164" fontId="0" fillId="5" borderId="9" xfId="0" applyNumberFormat="1" applyFill="1" applyBorder="1"/>
    <xf numFmtId="164" fontId="0" fillId="2" borderId="5" xfId="0" applyNumberFormat="1" applyFill="1" applyBorder="1"/>
    <xf numFmtId="164" fontId="0" fillId="5" borderId="2" xfId="0" applyNumberFormat="1" applyFill="1" applyBorder="1"/>
    <xf numFmtId="164" fontId="0" fillId="2" borderId="0" xfId="0" applyNumberFormat="1" applyFill="1" applyBorder="1"/>
    <xf numFmtId="0" fontId="12" fillId="0" borderId="0" xfId="0" applyFont="1"/>
    <xf numFmtId="0" fontId="0" fillId="0" borderId="0" xfId="0" applyFont="1" applyBorder="1"/>
    <xf numFmtId="0" fontId="7" fillId="0" borderId="0" xfId="0" applyFont="1" applyBorder="1"/>
    <xf numFmtId="0" fontId="7" fillId="0" borderId="0" xfId="0" applyFont="1" applyFill="1" applyBorder="1"/>
    <xf numFmtId="0" fontId="0" fillId="0" borderId="8" xfId="0" applyFont="1" applyBorder="1"/>
    <xf numFmtId="0" fontId="0" fillId="0" borderId="0" xfId="0" applyFont="1" applyFill="1" applyBorder="1"/>
    <xf numFmtId="0" fontId="0" fillId="0" borderId="8" xfId="0" applyFont="1" applyFill="1" applyBorder="1"/>
    <xf numFmtId="164" fontId="0" fillId="0" borderId="7" xfId="0" applyNumberFormat="1" applyFont="1" applyFill="1" applyBorder="1"/>
    <xf numFmtId="164" fontId="0" fillId="0" borderId="0" xfId="0" applyNumberFormat="1" applyFont="1" applyFill="1" applyBorder="1"/>
    <xf numFmtId="0" fontId="0" fillId="0" borderId="8" xfId="0" applyFill="1" applyBorder="1"/>
    <xf numFmtId="0" fontId="0" fillId="0" borderId="7" xfId="0" applyFill="1" applyBorder="1"/>
    <xf numFmtId="164" fontId="0" fillId="0" borderId="7" xfId="0" applyNumberFormat="1" applyFill="1" applyBorder="1"/>
    <xf numFmtId="165" fontId="0" fillId="8" borderId="0" xfId="0" applyNumberFormat="1" applyFill="1"/>
    <xf numFmtId="165" fontId="0" fillId="0" borderId="0" xfId="0" applyNumberFormat="1" applyBorder="1" applyAlignment="1">
      <alignment horizontal="left" vertical="center"/>
    </xf>
    <xf numFmtId="0" fontId="0" fillId="0" borderId="0" xfId="0" applyFont="1" applyBorder="1" applyAlignment="1"/>
    <xf numFmtId="0" fontId="0" fillId="0" borderId="8" xfId="0" applyFont="1" applyBorder="1" applyAlignment="1"/>
    <xf numFmtId="0" fontId="0" fillId="0" borderId="7" xfId="0" applyFont="1" applyBorder="1" applyAlignment="1"/>
    <xf numFmtId="2" fontId="0" fillId="8" borderId="0" xfId="0" applyNumberFormat="1" applyFill="1"/>
    <xf numFmtId="2" fontId="0" fillId="0" borderId="5" xfId="0" applyNumberFormat="1" applyFill="1" applyBorder="1"/>
    <xf numFmtId="164" fontId="0" fillId="10" borderId="5" xfId="0" applyNumberFormat="1" applyFill="1" applyBorder="1"/>
    <xf numFmtId="2" fontId="0" fillId="0" borderId="0" xfId="0" applyNumberFormat="1" applyBorder="1"/>
    <xf numFmtId="164" fontId="0" fillId="0" borderId="8" xfId="0" applyNumberFormat="1" applyFill="1" applyBorder="1"/>
    <xf numFmtId="2" fontId="0" fillId="0" borderId="0" xfId="0" applyNumberFormat="1" applyFill="1"/>
    <xf numFmtId="11" fontId="0" fillId="0" borderId="0" xfId="0" applyNumberFormat="1" applyBorder="1"/>
    <xf numFmtId="11" fontId="0" fillId="0" borderId="0" xfId="0" applyNumberFormat="1" applyFill="1"/>
    <xf numFmtId="165" fontId="0" fillId="0" borderId="0" xfId="0" applyNumberFormat="1" applyFill="1" applyBorder="1"/>
    <xf numFmtId="164" fontId="0" fillId="0" borderId="2" xfId="0" applyNumberFormat="1" applyFill="1" applyBorder="1"/>
    <xf numFmtId="0" fontId="7" fillId="0" borderId="9" xfId="0" applyFont="1" applyBorder="1"/>
    <xf numFmtId="0" fontId="0" fillId="0" borderId="17" xfId="0" applyBorder="1"/>
    <xf numFmtId="0" fontId="7" fillId="0" borderId="18" xfId="0" applyFont="1" applyBorder="1"/>
    <xf numFmtId="0" fontId="7" fillId="0" borderId="17" xfId="0" applyFont="1" applyBorder="1"/>
    <xf numFmtId="0" fontId="7" fillId="0" borderId="20" xfId="0" applyFont="1" applyBorder="1"/>
    <xf numFmtId="0" fontId="7" fillId="0" borderId="16" xfId="0" applyFont="1" applyBorder="1"/>
    <xf numFmtId="0" fontId="7" fillId="0" borderId="19" xfId="0" applyFont="1" applyBorder="1"/>
    <xf numFmtId="0" fontId="0" fillId="0" borderId="15" xfId="0" applyBorder="1"/>
    <xf numFmtId="0" fontId="0" fillId="0" borderId="18" xfId="0" applyBorder="1"/>
    <xf numFmtId="0" fontId="0" fillId="0" borderId="21" xfId="0" applyBorder="1"/>
    <xf numFmtId="0" fontId="0" fillId="0" borderId="14" xfId="0" applyBorder="1"/>
    <xf numFmtId="0" fontId="0" fillId="0" borderId="19" xfId="0" applyBorder="1"/>
    <xf numFmtId="0" fontId="0" fillId="0" borderId="16" xfId="0" applyBorder="1"/>
    <xf numFmtId="0" fontId="0" fillId="0" borderId="27" xfId="0" applyBorder="1"/>
    <xf numFmtId="0" fontId="0" fillId="0" borderId="28" xfId="0" applyBorder="1"/>
    <xf numFmtId="0" fontId="7" fillId="0" borderId="27" xfId="0" applyFont="1" applyBorder="1" applyAlignment="1">
      <alignment horizontal="left"/>
    </xf>
    <xf numFmtId="0" fontId="0" fillId="0" borderId="29" xfId="0" applyBorder="1"/>
    <xf numFmtId="0" fontId="0" fillId="0" borderId="30" xfId="0" applyBorder="1"/>
    <xf numFmtId="0" fontId="0" fillId="0" borderId="31" xfId="0" applyBorder="1"/>
    <xf numFmtId="0" fontId="13" fillId="15" borderId="0" xfId="0" applyFont="1" applyFill="1" applyBorder="1"/>
    <xf numFmtId="0" fontId="14" fillId="0" borderId="0" xfId="0" applyFont="1" applyBorder="1"/>
    <xf numFmtId="0" fontId="17" fillId="15" borderId="13" xfId="0" applyFont="1" applyFill="1" applyBorder="1"/>
    <xf numFmtId="0" fontId="3" fillId="0" borderId="0" xfId="0" applyFont="1" applyAlignment="1">
      <alignment vertical="center"/>
    </xf>
    <xf numFmtId="0" fontId="0" fillId="0" borderId="0" xfId="0" quotePrefix="1" applyBorder="1"/>
    <xf numFmtId="0" fontId="13" fillId="0" borderId="0" xfId="0" applyFont="1"/>
    <xf numFmtId="164" fontId="0" fillId="16" borderId="5" xfId="0" applyNumberFormat="1" applyFill="1" applyBorder="1"/>
    <xf numFmtId="164" fontId="0" fillId="0" borderId="32" xfId="0" applyNumberFormat="1" applyBorder="1"/>
    <xf numFmtId="164" fontId="0" fillId="0" borderId="17" xfId="0" applyNumberFormat="1" applyBorder="1"/>
    <xf numFmtId="0" fontId="0" fillId="0" borderId="18" xfId="0" applyFill="1" applyBorder="1"/>
    <xf numFmtId="0" fontId="0" fillId="0" borderId="33" xfId="0" applyBorder="1"/>
    <xf numFmtId="0" fontId="12" fillId="11" borderId="17" xfId="0" applyFont="1" applyFill="1" applyBorder="1"/>
    <xf numFmtId="0" fontId="12" fillId="11" borderId="0" xfId="0" applyFont="1" applyFill="1" applyBorder="1"/>
    <xf numFmtId="0" fontId="21" fillId="11" borderId="18" xfId="0" applyFont="1" applyFill="1" applyBorder="1"/>
    <xf numFmtId="0" fontId="19" fillId="15" borderId="0" xfId="0" applyFont="1" applyFill="1" applyBorder="1"/>
    <xf numFmtId="0" fontId="2" fillId="0" borderId="0" xfId="0" applyFont="1" applyFill="1"/>
    <xf numFmtId="0" fontId="22" fillId="11" borderId="17" xfId="0" applyFont="1" applyFill="1" applyBorder="1"/>
    <xf numFmtId="0" fontId="22" fillId="11" borderId="0" xfId="0" applyFont="1" applyFill="1" applyBorder="1"/>
    <xf numFmtId="0" fontId="23" fillId="11" borderId="18" xfId="0" applyFont="1" applyFill="1" applyBorder="1"/>
    <xf numFmtId="0" fontId="19" fillId="17" borderId="0" xfId="0" applyFont="1" applyFill="1" applyBorder="1"/>
    <xf numFmtId="0" fontId="19" fillId="18" borderId="0" xfId="0" applyFont="1" applyFill="1" applyBorder="1"/>
    <xf numFmtId="0" fontId="12" fillId="11" borderId="0" xfId="0" applyFont="1" applyFill="1" applyBorder="1" applyAlignment="1">
      <alignment horizontal="center" vertical="center" wrapText="1"/>
    </xf>
    <xf numFmtId="0" fontId="0" fillId="11" borderId="17" xfId="0" applyFill="1" applyBorder="1"/>
    <xf numFmtId="0" fontId="0" fillId="11" borderId="0" xfId="0" applyFill="1" applyBorder="1"/>
    <xf numFmtId="0" fontId="0" fillId="11" borderId="18" xfId="0" applyFill="1" applyBorder="1"/>
    <xf numFmtId="0" fontId="0" fillId="11" borderId="0" xfId="0" applyFill="1" applyBorder="1" applyAlignment="1">
      <alignment wrapText="1"/>
    </xf>
    <xf numFmtId="0" fontId="0" fillId="11" borderId="16" xfId="0" applyFill="1" applyBorder="1"/>
    <xf numFmtId="0" fontId="0" fillId="11" borderId="19" xfId="0" applyFill="1" applyBorder="1"/>
    <xf numFmtId="0" fontId="0" fillId="11" borderId="21" xfId="0" applyFill="1" applyBorder="1"/>
    <xf numFmtId="0" fontId="0" fillId="0" borderId="22" xfId="0" applyBorder="1"/>
    <xf numFmtId="0" fontId="0" fillId="0" borderId="35" xfId="0" applyBorder="1"/>
    <xf numFmtId="0" fontId="0" fillId="0" borderId="23" xfId="0" applyBorder="1"/>
    <xf numFmtId="0" fontId="0" fillId="0" borderId="36" xfId="0" applyBorder="1"/>
    <xf numFmtId="0" fontId="0" fillId="0" borderId="20" xfId="0" applyBorder="1"/>
    <xf numFmtId="0" fontId="0" fillId="0" borderId="37" xfId="0" applyBorder="1"/>
    <xf numFmtId="0" fontId="0" fillId="0" borderId="0" xfId="0" applyBorder="1" applyAlignment="1"/>
    <xf numFmtId="0" fontId="0" fillId="0" borderId="8" xfId="0" applyBorder="1" applyAlignment="1"/>
    <xf numFmtId="164" fontId="0" fillId="0" borderId="8" xfId="0" applyNumberFormat="1" applyBorder="1"/>
    <xf numFmtId="164" fontId="12" fillId="0" borderId="0" xfId="0" applyNumberFormat="1" applyFont="1" applyBorder="1"/>
    <xf numFmtId="164" fontId="12" fillId="0" borderId="8" xfId="0" applyNumberFormat="1" applyFont="1" applyBorder="1"/>
    <xf numFmtId="0" fontId="2" fillId="0" borderId="7" xfId="0" applyFont="1" applyBorder="1"/>
    <xf numFmtId="164" fontId="0" fillId="0" borderId="7" xfId="0" applyNumberFormat="1" applyBorder="1"/>
    <xf numFmtId="0" fontId="12" fillId="0" borderId="0" xfId="0" applyFont="1" applyBorder="1"/>
    <xf numFmtId="0" fontId="2" fillId="0" borderId="8" xfId="0" applyFont="1" applyBorder="1" applyAlignment="1"/>
    <xf numFmtId="165" fontId="0" fillId="0" borderId="0" xfId="0" applyNumberFormat="1" applyBorder="1"/>
    <xf numFmtId="0" fontId="0" fillId="0" borderId="8" xfId="0" applyNumberFormat="1" applyBorder="1"/>
    <xf numFmtId="0" fontId="0" fillId="0" borderId="0" xfId="0" pivotButton="1" applyBorder="1"/>
    <xf numFmtId="0" fontId="0" fillId="0" borderId="0" xfId="0" applyNumberFormat="1" applyBorder="1"/>
    <xf numFmtId="0" fontId="0" fillId="0" borderId="0" xfId="0" applyBorder="1" applyAlignment="1">
      <alignment horizontal="left" indent="1"/>
    </xf>
    <xf numFmtId="0" fontId="0" fillId="0" borderId="0" xfId="0" applyBorder="1" applyAlignment="1">
      <alignment horizontal="left" indent="2"/>
    </xf>
    <xf numFmtId="0" fontId="0" fillId="0" borderId="7" xfId="0" applyBorder="1" applyAlignment="1"/>
    <xf numFmtId="2" fontId="0" fillId="0" borderId="0" xfId="0" applyNumberFormat="1" applyFill="1" applyBorder="1"/>
    <xf numFmtId="166" fontId="0" fillId="0" borderId="0" xfId="0" applyNumberFormat="1" applyBorder="1"/>
    <xf numFmtId="1" fontId="0" fillId="0" borderId="0" xfId="0" applyNumberFormat="1" applyBorder="1"/>
    <xf numFmtId="164" fontId="12" fillId="0" borderId="0" xfId="0" applyNumberFormat="1" applyFont="1" applyFill="1" applyBorder="1"/>
    <xf numFmtId="0" fontId="3" fillId="0" borderId="17" xfId="0" applyFont="1" applyBorder="1"/>
    <xf numFmtId="0" fontId="3" fillId="0" borderId="0" xfId="0" applyFont="1" applyBorder="1"/>
    <xf numFmtId="0" fontId="0" fillId="0" borderId="0" xfId="0" applyNumberFormat="1" applyFont="1" applyAlignment="1">
      <alignment vertical="center"/>
    </xf>
    <xf numFmtId="0" fontId="7" fillId="0" borderId="0" xfId="0" applyNumberFormat="1" applyFont="1" applyAlignment="1">
      <alignment vertical="center"/>
    </xf>
    <xf numFmtId="0" fontId="0" fillId="0" borderId="0" xfId="0" applyNumberFormat="1" applyFont="1" applyAlignment="1"/>
    <xf numFmtId="0" fontId="0" fillId="0" borderId="0" xfId="0" applyNumberFormat="1" applyFont="1" applyFill="1" applyAlignment="1"/>
    <xf numFmtId="0" fontId="26" fillId="0" borderId="0" xfId="0" applyFont="1"/>
    <xf numFmtId="0" fontId="0" fillId="0" borderId="0" xfId="0" applyFont="1"/>
    <xf numFmtId="0" fontId="28" fillId="0" borderId="0" xfId="0" applyFont="1" applyBorder="1"/>
    <xf numFmtId="0" fontId="29" fillId="0" borderId="13" xfId="0" applyFont="1" applyBorder="1" applyAlignment="1"/>
    <xf numFmtId="0" fontId="29" fillId="0" borderId="14" xfId="0" applyFont="1" applyBorder="1" applyAlignment="1"/>
    <xf numFmtId="0" fontId="29" fillId="0" borderId="15" xfId="0" applyFont="1" applyBorder="1" applyAlignment="1"/>
    <xf numFmtId="0" fontId="29" fillId="0" borderId="17" xfId="0" applyFont="1" applyFill="1" applyBorder="1"/>
    <xf numFmtId="0" fontId="7" fillId="0" borderId="21" xfId="0" applyFont="1" applyBorder="1"/>
    <xf numFmtId="0" fontId="7" fillId="0" borderId="37" xfId="0" applyFont="1" applyBorder="1"/>
    <xf numFmtId="0" fontId="1" fillId="0" borderId="19" xfId="0" applyFont="1" applyBorder="1"/>
    <xf numFmtId="0" fontId="1" fillId="0" borderId="9" xfId="0" applyFont="1" applyBorder="1"/>
    <xf numFmtId="0" fontId="1" fillId="0" borderId="37" xfId="0" applyFont="1" applyBorder="1"/>
    <xf numFmtId="0" fontId="3" fillId="0" borderId="14" xfId="0" applyFont="1" applyBorder="1"/>
    <xf numFmtId="165" fontId="7" fillId="12" borderId="9" xfId="0" applyNumberFormat="1" applyFont="1" applyFill="1" applyBorder="1"/>
    <xf numFmtId="0" fontId="3" fillId="0" borderId="0" xfId="0" applyFont="1" applyAlignment="1">
      <alignment horizontal="center" vertical="center"/>
    </xf>
    <xf numFmtId="0" fontId="0" fillId="0" borderId="0" xfId="0" applyAlignment="1">
      <alignment horizontal="left" vertical="center"/>
    </xf>
    <xf numFmtId="164" fontId="0" fillId="0" borderId="0" xfId="0" applyNumberFormat="1" applyBorder="1" applyAlignment="1">
      <alignment horizontal="left" vertical="center"/>
    </xf>
    <xf numFmtId="164" fontId="0" fillId="20" borderId="0" xfId="0" applyNumberFormat="1" applyFill="1"/>
    <xf numFmtId="0" fontId="12" fillId="11" borderId="0" xfId="0" applyFont="1" applyFill="1" applyBorder="1" applyAlignment="1">
      <alignment horizontal="left" wrapText="1"/>
    </xf>
    <xf numFmtId="164" fontId="0" fillId="0" borderId="6" xfId="0" applyNumberFormat="1" applyBorder="1"/>
    <xf numFmtId="0" fontId="17" fillId="15" borderId="14" xfId="0" applyFont="1" applyFill="1" applyBorder="1"/>
    <xf numFmtId="0" fontId="17" fillId="15" borderId="15" xfId="0" applyFont="1" applyFill="1" applyBorder="1"/>
    <xf numFmtId="0" fontId="0" fillId="6" borderId="0" xfId="0" applyFont="1" applyFill="1"/>
    <xf numFmtId="0" fontId="12" fillId="11" borderId="0" xfId="0" applyFont="1" applyFill="1" applyBorder="1" applyAlignment="1">
      <alignment horizontal="left" wrapText="1"/>
    </xf>
    <xf numFmtId="0" fontId="1" fillId="0" borderId="0" xfId="0" applyFont="1" applyBorder="1"/>
    <xf numFmtId="164" fontId="0" fillId="8" borderId="2" xfId="0" applyNumberFormat="1" applyFill="1" applyBorder="1"/>
    <xf numFmtId="0" fontId="1" fillId="0" borderId="17" xfId="0" applyFont="1" applyBorder="1"/>
    <xf numFmtId="164" fontId="7" fillId="12" borderId="9" xfId="0" applyNumberFormat="1" applyFont="1" applyFill="1" applyBorder="1"/>
    <xf numFmtId="164" fontId="7" fillId="12" borderId="0" xfId="0" applyNumberFormat="1" applyFont="1" applyFill="1" applyBorder="1"/>
    <xf numFmtId="2" fontId="7" fillId="12" borderId="9" xfId="0" applyNumberFormat="1" applyFont="1" applyFill="1" applyBorder="1"/>
    <xf numFmtId="0" fontId="1" fillId="0" borderId="20" xfId="0" applyFont="1" applyBorder="1"/>
    <xf numFmtId="0" fontId="1" fillId="0" borderId="2" xfId="0" applyFont="1" applyBorder="1"/>
    <xf numFmtId="0" fontId="7" fillId="0" borderId="2" xfId="0" applyFont="1" applyBorder="1"/>
    <xf numFmtId="0" fontId="1" fillId="0" borderId="5" xfId="0" applyFont="1" applyBorder="1"/>
    <xf numFmtId="0" fontId="7" fillId="0" borderId="5" xfId="0" applyFont="1" applyBorder="1"/>
    <xf numFmtId="0" fontId="1" fillId="0" borderId="22" xfId="0" applyFont="1" applyBorder="1"/>
    <xf numFmtId="0" fontId="1" fillId="0" borderId="23" xfId="0" applyFont="1" applyBorder="1"/>
    <xf numFmtId="164" fontId="7" fillId="12" borderId="2" xfId="0" applyNumberFormat="1" applyFont="1" applyFill="1" applyBorder="1"/>
    <xf numFmtId="164" fontId="7" fillId="12" borderId="5" xfId="0" applyNumberFormat="1" applyFont="1" applyFill="1" applyBorder="1"/>
    <xf numFmtId="2" fontId="0" fillId="0" borderId="9" xfId="0" applyNumberFormat="1" applyFill="1" applyBorder="1"/>
    <xf numFmtId="164" fontId="0" fillId="13" borderId="2" xfId="0" applyNumberFormat="1" applyFill="1" applyBorder="1"/>
    <xf numFmtId="0" fontId="12" fillId="11" borderId="0" xfId="0" applyFont="1" applyFill="1" applyBorder="1" applyAlignment="1">
      <alignment horizontal="left" wrapText="1"/>
    </xf>
    <xf numFmtId="0" fontId="1" fillId="0" borderId="0" xfId="0" applyFont="1" applyFill="1" applyBorder="1"/>
    <xf numFmtId="0" fontId="19" fillId="11" borderId="0" xfId="0" applyFont="1" applyFill="1" applyBorder="1"/>
    <xf numFmtId="164" fontId="13" fillId="11" borderId="11" xfId="0" applyNumberFormat="1" applyFont="1" applyFill="1" applyBorder="1"/>
    <xf numFmtId="0" fontId="13" fillId="11" borderId="12" xfId="0" applyFont="1" applyFill="1" applyBorder="1"/>
    <xf numFmtId="2" fontId="13" fillId="11" borderId="12" xfId="0" applyNumberFormat="1" applyFont="1" applyFill="1" applyBorder="1"/>
    <xf numFmtId="0" fontId="32" fillId="0" borderId="20" xfId="0" applyFont="1" applyFill="1" applyBorder="1"/>
    <xf numFmtId="164" fontId="0" fillId="0" borderId="5" xfId="0" applyNumberFormat="1" applyFont="1" applyFill="1" applyBorder="1"/>
    <xf numFmtId="164" fontId="0" fillId="0" borderId="0" xfId="0" applyNumberFormat="1" applyFont="1" applyFill="1"/>
    <xf numFmtId="0" fontId="0" fillId="0" borderId="0" xfId="0" applyFill="1" applyBorder="1" applyAlignment="1">
      <alignment horizontal="left" vertical="center"/>
    </xf>
    <xf numFmtId="2" fontId="0" fillId="0" borderId="2" xfId="0" applyNumberFormat="1" applyFill="1" applyBorder="1"/>
    <xf numFmtId="0" fontId="0" fillId="0" borderId="5" xfId="0" applyFill="1" applyBorder="1" applyAlignment="1">
      <alignment horizontal="left" vertical="center"/>
    </xf>
    <xf numFmtId="0" fontId="0" fillId="11" borderId="0" xfId="0" applyFill="1"/>
    <xf numFmtId="0" fontId="3" fillId="0" borderId="0" xfId="0" applyFont="1" applyAlignment="1">
      <alignment horizontal="center" vertical="center"/>
    </xf>
    <xf numFmtId="0" fontId="12" fillId="2" borderId="0" xfId="0" applyFont="1" applyFill="1" applyBorder="1"/>
    <xf numFmtId="0" fontId="0" fillId="12" borderId="10" xfId="0" applyFill="1" applyBorder="1"/>
    <xf numFmtId="0" fontId="1" fillId="0" borderId="34" xfId="0" applyFont="1" applyFill="1" applyBorder="1"/>
    <xf numFmtId="0" fontId="12" fillId="11" borderId="13" xfId="0" applyFont="1" applyFill="1" applyBorder="1"/>
    <xf numFmtId="0" fontId="12" fillId="11" borderId="14" xfId="0" applyFont="1" applyFill="1" applyBorder="1"/>
    <xf numFmtId="0" fontId="21" fillId="11" borderId="15" xfId="0" applyFont="1" applyFill="1" applyBorder="1"/>
    <xf numFmtId="0" fontId="12" fillId="11" borderId="16" xfId="0" applyFont="1" applyFill="1" applyBorder="1"/>
    <xf numFmtId="0" fontId="12" fillId="11" borderId="19" xfId="0" applyFont="1" applyFill="1" applyBorder="1"/>
    <xf numFmtId="0" fontId="21" fillId="11" borderId="21" xfId="0" applyFont="1" applyFill="1" applyBorder="1"/>
    <xf numFmtId="0" fontId="17" fillId="15" borderId="17" xfId="0" applyFont="1" applyFill="1" applyBorder="1"/>
    <xf numFmtId="0" fontId="18" fillId="15" borderId="0" xfId="0" applyFont="1" applyFill="1" applyBorder="1"/>
    <xf numFmtId="0" fontId="18" fillId="15" borderId="18" xfId="0" applyFont="1" applyFill="1" applyBorder="1"/>
    <xf numFmtId="0" fontId="27" fillId="0" borderId="0" xfId="0" applyFont="1" applyBorder="1"/>
    <xf numFmtId="0" fontId="29" fillId="0" borderId="0" xfId="0" applyFont="1" applyBorder="1" applyAlignment="1"/>
    <xf numFmtId="0" fontId="12" fillId="0" borderId="0" xfId="0" applyFont="1" applyFill="1" applyBorder="1"/>
    <xf numFmtId="0" fontId="0" fillId="0" borderId="0" xfId="0" applyFont="1" applyBorder="1" applyAlignment="1">
      <alignment horizontal="center"/>
    </xf>
    <xf numFmtId="0" fontId="12" fillId="11" borderId="0" xfId="0" applyFont="1" applyFill="1" applyBorder="1" applyAlignment="1">
      <alignment horizontal="left" wrapText="1"/>
    </xf>
    <xf numFmtId="0" fontId="1" fillId="0" borderId="18" xfId="0" applyFont="1" applyBorder="1"/>
    <xf numFmtId="0" fontId="4" fillId="0" borderId="0" xfId="0" applyFont="1" applyAlignment="1">
      <alignment vertical="center"/>
    </xf>
    <xf numFmtId="0" fontId="2" fillId="0" borderId="17" xfId="0" applyFont="1" applyBorder="1"/>
    <xf numFmtId="0" fontId="8" fillId="0" borderId="0" xfId="0" applyFont="1" applyBorder="1" applyAlignment="1">
      <alignment horizontal="left" vertical="center"/>
    </xf>
    <xf numFmtId="0" fontId="7" fillId="0" borderId="0" xfId="0" applyFont="1" applyBorder="1" applyAlignment="1">
      <alignment horizontal="left" vertical="center"/>
    </xf>
    <xf numFmtId="164" fontId="0" fillId="0" borderId="0" xfId="0" applyNumberFormat="1" applyFont="1" applyBorder="1" applyAlignment="1">
      <alignment horizontal="center" vertical="center"/>
    </xf>
    <xf numFmtId="0" fontId="0" fillId="0" borderId="0" xfId="0" applyFont="1" applyBorder="1" applyAlignment="1">
      <alignment horizontal="center" vertical="center"/>
    </xf>
    <xf numFmtId="0" fontId="0" fillId="0" borderId="0" xfId="0" applyFont="1" applyBorder="1" applyAlignment="1">
      <alignment horizontal="left" vertical="center"/>
    </xf>
    <xf numFmtId="0" fontId="20" fillId="0" borderId="0" xfId="0" applyFont="1" applyFill="1" applyBorder="1" applyAlignment="1">
      <alignment vertical="center"/>
    </xf>
    <xf numFmtId="0" fontId="0" fillId="12" borderId="0" xfId="0" applyFill="1" applyBorder="1"/>
    <xf numFmtId="0" fontId="13" fillId="0" borderId="0" xfId="0" applyFont="1" applyFill="1"/>
    <xf numFmtId="0" fontId="13" fillId="0" borderId="0" xfId="0" applyFont="1" applyFill="1" applyBorder="1"/>
    <xf numFmtId="2" fontId="13" fillId="0" borderId="0" xfId="0" applyNumberFormat="1" applyFont="1" applyFill="1" applyBorder="1"/>
    <xf numFmtId="0" fontId="13" fillId="0" borderId="0" xfId="0" applyNumberFormat="1" applyFont="1" applyFill="1" applyBorder="1"/>
    <xf numFmtId="0" fontId="12" fillId="0" borderId="0" xfId="0" applyFont="1" applyFill="1"/>
    <xf numFmtId="0" fontId="0" fillId="4" borderId="2" xfId="0" applyFill="1" applyBorder="1"/>
    <xf numFmtId="0" fontId="0" fillId="7" borderId="0" xfId="0" applyFont="1" applyFill="1" applyBorder="1"/>
    <xf numFmtId="0" fontId="0" fillId="7" borderId="0" xfId="0" applyFill="1" applyBorder="1"/>
    <xf numFmtId="0" fontId="0" fillId="10" borderId="0" xfId="0" applyFill="1" applyBorder="1"/>
    <xf numFmtId="0" fontId="0" fillId="5" borderId="0" xfId="0" applyFill="1" applyBorder="1"/>
    <xf numFmtId="0" fontId="0" fillId="21" borderId="0" xfId="0" applyFill="1" applyBorder="1"/>
    <xf numFmtId="0" fontId="0" fillId="2" borderId="5" xfId="0" applyFill="1" applyBorder="1"/>
    <xf numFmtId="164" fontId="0" fillId="0" borderId="2" xfId="0" applyNumberFormat="1" applyFill="1" applyBorder="1" applyAlignment="1" applyProtection="1">
      <alignment horizontal="center"/>
      <protection locked="0"/>
    </xf>
    <xf numFmtId="164" fontId="0" fillId="0" borderId="0" xfId="0" applyNumberFormat="1" applyFill="1" applyAlignment="1" applyProtection="1">
      <alignment horizontal="center"/>
      <protection locked="0"/>
    </xf>
    <xf numFmtId="164" fontId="0" fillId="0" borderId="0" xfId="0" applyNumberFormat="1" applyBorder="1" applyAlignment="1" applyProtection="1">
      <alignment horizontal="center"/>
      <protection locked="0"/>
    </xf>
    <xf numFmtId="164" fontId="0" fillId="0" borderId="2" xfId="0" applyNumberFormat="1" applyBorder="1" applyAlignment="1" applyProtection="1">
      <alignment horizontal="center"/>
      <protection locked="0"/>
    </xf>
    <xf numFmtId="0" fontId="0" fillId="0" borderId="0" xfId="0" applyBorder="1" applyAlignment="1" applyProtection="1">
      <alignment horizontal="center"/>
      <protection locked="0"/>
    </xf>
    <xf numFmtId="164" fontId="0" fillId="0" borderId="9" xfId="0" applyNumberFormat="1" applyBorder="1" applyProtection="1">
      <protection locked="0"/>
    </xf>
    <xf numFmtId="164" fontId="0" fillId="0" borderId="9" xfId="0" applyNumberFormat="1" applyBorder="1" applyProtection="1"/>
    <xf numFmtId="0" fontId="0" fillId="0" borderId="0" xfId="0" applyFill="1" applyAlignment="1" applyProtection="1">
      <alignment horizontal="center"/>
      <protection locked="0"/>
    </xf>
    <xf numFmtId="0" fontId="0" fillId="0" borderId="5" xfId="0" applyBorder="1" applyAlignment="1" applyProtection="1">
      <alignment horizontal="center"/>
      <protection locked="0"/>
    </xf>
    <xf numFmtId="164" fontId="0" fillId="0" borderId="0" xfId="0" applyNumberFormat="1" applyFill="1" applyBorder="1" applyAlignment="1" applyProtection="1">
      <alignment horizontal="center"/>
      <protection locked="0"/>
    </xf>
    <xf numFmtId="0" fontId="0" fillId="0" borderId="0" xfId="0" applyProtection="1">
      <protection locked="0"/>
    </xf>
    <xf numFmtId="0" fontId="0" fillId="0" borderId="9" xfId="0" applyFill="1" applyBorder="1" applyAlignment="1" applyProtection="1">
      <alignment horizontal="center"/>
      <protection locked="0"/>
    </xf>
    <xf numFmtId="164" fontId="0" fillId="0" borderId="9" xfId="0" applyNumberFormat="1" applyFill="1" applyBorder="1" applyAlignment="1" applyProtection="1">
      <alignment horizontal="center"/>
      <protection locked="0"/>
    </xf>
    <xf numFmtId="2" fontId="0" fillId="0" borderId="9" xfId="0" applyNumberFormat="1" applyFill="1" applyBorder="1" applyAlignment="1" applyProtection="1">
      <alignment horizontal="center"/>
      <protection locked="0"/>
    </xf>
    <xf numFmtId="0" fontId="0" fillId="0" borderId="2" xfId="0" applyFill="1" applyBorder="1" applyProtection="1">
      <protection locked="0"/>
    </xf>
    <xf numFmtId="164" fontId="0" fillId="0" borderId="0" xfId="0" applyNumberFormat="1" applyFill="1" applyBorder="1" applyProtection="1">
      <protection locked="0"/>
    </xf>
    <xf numFmtId="0" fontId="0" fillId="0" borderId="5" xfId="0" applyBorder="1" applyProtection="1">
      <protection locked="0"/>
    </xf>
    <xf numFmtId="0" fontId="0" fillId="0" borderId="2" xfId="0" applyBorder="1" applyProtection="1">
      <protection locked="0"/>
    </xf>
    <xf numFmtId="164" fontId="0" fillId="0" borderId="5" xfId="0" applyNumberFormat="1" applyBorder="1" applyProtection="1">
      <protection locked="0"/>
    </xf>
    <xf numFmtId="0" fontId="0" fillId="0" borderId="9" xfId="0" applyBorder="1" applyProtection="1">
      <protection locked="0"/>
    </xf>
    <xf numFmtId="0" fontId="0" fillId="0" borderId="0" xfId="0" applyBorder="1" applyProtection="1">
      <protection locked="0"/>
    </xf>
    <xf numFmtId="164" fontId="0" fillId="0" borderId="0" xfId="0" applyNumberFormat="1" applyBorder="1" applyProtection="1">
      <protection locked="0"/>
    </xf>
    <xf numFmtId="164" fontId="0" fillId="0" borderId="2" xfId="0" applyNumberFormat="1" applyBorder="1" applyProtection="1">
      <protection locked="0"/>
    </xf>
    <xf numFmtId="0" fontId="0" fillId="0" borderId="0" xfId="0" applyFill="1" applyBorder="1" applyProtection="1">
      <protection locked="0"/>
    </xf>
    <xf numFmtId="0" fontId="0" fillId="0" borderId="5" xfId="0" applyFill="1" applyBorder="1" applyProtection="1">
      <protection locked="0"/>
    </xf>
    <xf numFmtId="0" fontId="0" fillId="0" borderId="9" xfId="0" applyFill="1" applyBorder="1" applyProtection="1">
      <protection locked="0"/>
    </xf>
    <xf numFmtId="2" fontId="0" fillId="0" borderId="0" xfId="0" applyNumberFormat="1" applyFill="1" applyAlignment="1" applyProtection="1">
      <alignment horizontal="center"/>
      <protection locked="0"/>
    </xf>
    <xf numFmtId="2" fontId="0" fillId="0" borderId="2" xfId="0" applyNumberFormat="1" applyBorder="1" applyAlignment="1" applyProtection="1">
      <alignment horizontal="center"/>
      <protection locked="0"/>
    </xf>
    <xf numFmtId="2" fontId="0" fillId="0" borderId="0" xfId="0" applyNumberFormat="1" applyBorder="1" applyAlignment="1" applyProtection="1">
      <alignment horizontal="center"/>
      <protection locked="0"/>
    </xf>
    <xf numFmtId="0" fontId="0" fillId="6" borderId="0" xfId="0" applyFill="1" applyProtection="1">
      <protection locked="0"/>
    </xf>
    <xf numFmtId="164" fontId="0" fillId="0" borderId="2" xfId="0" applyNumberFormat="1" applyFill="1" applyBorder="1" applyProtection="1">
      <protection locked="0"/>
    </xf>
    <xf numFmtId="2" fontId="0" fillId="0" borderId="0" xfId="0" applyNumberFormat="1" applyProtection="1">
      <protection locked="0"/>
    </xf>
    <xf numFmtId="164" fontId="0" fillId="0" borderId="9" xfId="0" applyNumberFormat="1" applyFill="1" applyBorder="1" applyProtection="1">
      <protection locked="0"/>
    </xf>
    <xf numFmtId="0" fontId="0" fillId="6" borderId="0" xfId="0" applyFont="1" applyFill="1" applyProtection="1">
      <protection locked="0"/>
    </xf>
    <xf numFmtId="164" fontId="0" fillId="0" borderId="0" xfId="0" applyNumberFormat="1" applyProtection="1">
      <protection locked="0"/>
    </xf>
    <xf numFmtId="0" fontId="0" fillId="0" borderId="5" xfId="0" applyBorder="1" applyAlignment="1" applyProtection="1">
      <alignment horizontal="center"/>
    </xf>
    <xf numFmtId="164" fontId="0" fillId="0" borderId="5" xfId="0" applyNumberFormat="1" applyBorder="1" applyAlignment="1" applyProtection="1">
      <alignment horizontal="center"/>
    </xf>
    <xf numFmtId="0" fontId="0" fillId="0" borderId="5" xfId="0" applyBorder="1" applyProtection="1"/>
    <xf numFmtId="0" fontId="0" fillId="0" borderId="0" xfId="0" applyBorder="1" applyProtection="1"/>
    <xf numFmtId="0" fontId="0" fillId="0" borderId="0" xfId="0" applyFill="1" applyBorder="1" applyProtection="1"/>
    <xf numFmtId="164" fontId="0" fillId="0" borderId="0" xfId="0" applyNumberFormat="1" applyBorder="1" applyProtection="1"/>
    <xf numFmtId="11" fontId="0" fillId="0" borderId="0" xfId="0" applyNumberFormat="1" applyBorder="1" applyAlignment="1" applyProtection="1">
      <alignment horizontal="center"/>
      <protection locked="0"/>
    </xf>
    <xf numFmtId="0" fontId="0" fillId="0" borderId="9" xfId="0" applyBorder="1" applyAlignment="1" applyProtection="1">
      <alignment horizontal="center"/>
      <protection locked="0"/>
    </xf>
    <xf numFmtId="164" fontId="0" fillId="0" borderId="9" xfId="0" applyNumberFormat="1" applyBorder="1" applyAlignment="1" applyProtection="1">
      <alignment horizontal="center"/>
      <protection locked="0"/>
    </xf>
    <xf numFmtId="164" fontId="0" fillId="0" borderId="0" xfId="0" applyNumberFormat="1" applyAlignment="1" applyProtection="1">
      <alignment horizontal="center"/>
      <protection locked="0"/>
    </xf>
    <xf numFmtId="0" fontId="0" fillId="0" borderId="0" xfId="0" applyAlignment="1" applyProtection="1">
      <alignment horizontal="center"/>
      <protection locked="0"/>
    </xf>
    <xf numFmtId="0" fontId="2" fillId="3" borderId="0" xfId="0" applyFont="1" applyFill="1" applyProtection="1">
      <protection locked="0"/>
    </xf>
    <xf numFmtId="0" fontId="2" fillId="6" borderId="0" xfId="0" applyFont="1" applyFill="1" applyProtection="1">
      <protection locked="0"/>
    </xf>
    <xf numFmtId="2" fontId="0" fillId="0" borderId="9" xfId="0" applyNumberFormat="1" applyBorder="1" applyProtection="1">
      <protection locked="0"/>
    </xf>
    <xf numFmtId="0" fontId="0" fillId="0" borderId="1" xfId="0" applyBorder="1" applyProtection="1">
      <protection locked="0"/>
    </xf>
    <xf numFmtId="0" fontId="0" fillId="0" borderId="3" xfId="0" applyBorder="1" applyProtection="1">
      <protection locked="0"/>
    </xf>
    <xf numFmtId="0" fontId="0" fillId="0" borderId="7" xfId="0" applyBorder="1" applyProtection="1">
      <protection locked="0"/>
    </xf>
    <xf numFmtId="0" fontId="0" fillId="0" borderId="8" xfId="0" applyBorder="1" applyProtection="1">
      <protection locked="0"/>
    </xf>
    <xf numFmtId="164" fontId="0" fillId="0" borderId="7" xfId="0" applyNumberFormat="1" applyBorder="1" applyProtection="1">
      <protection locked="0"/>
    </xf>
    <xf numFmtId="164" fontId="0" fillId="0" borderId="8" xfId="0" applyNumberFormat="1" applyBorder="1" applyProtection="1">
      <protection locked="0"/>
    </xf>
    <xf numFmtId="164" fontId="0" fillId="0" borderId="4" xfId="0" applyNumberFormat="1" applyBorder="1" applyProtection="1">
      <protection locked="0"/>
    </xf>
    <xf numFmtId="164" fontId="0" fillId="0" borderId="6" xfId="0" applyNumberFormat="1" applyBorder="1" applyProtection="1">
      <protection locked="0"/>
    </xf>
    <xf numFmtId="0" fontId="0" fillId="0" borderId="38" xfId="0" applyBorder="1" applyProtection="1">
      <protection locked="0"/>
    </xf>
    <xf numFmtId="0" fontId="0" fillId="0" borderId="39" xfId="0" applyBorder="1" applyProtection="1">
      <protection locked="0"/>
    </xf>
    <xf numFmtId="0" fontId="0" fillId="0" borderId="40" xfId="0" applyBorder="1" applyProtection="1">
      <protection locked="0"/>
    </xf>
    <xf numFmtId="164" fontId="0" fillId="0" borderId="4" xfId="0" applyNumberFormat="1" applyFill="1" applyBorder="1"/>
    <xf numFmtId="2" fontId="0" fillId="0" borderId="4" xfId="0" applyNumberFormat="1" applyBorder="1"/>
    <xf numFmtId="0" fontId="0" fillId="0" borderId="38" xfId="0" applyBorder="1"/>
    <xf numFmtId="0" fontId="0" fillId="0" borderId="39" xfId="0" applyBorder="1"/>
    <xf numFmtId="164" fontId="0" fillId="0" borderId="39" xfId="0" applyNumberFormat="1" applyBorder="1"/>
    <xf numFmtId="164" fontId="0" fillId="0" borderId="40" xfId="0" applyNumberFormat="1" applyBorder="1"/>
    <xf numFmtId="164" fontId="0" fillId="0" borderId="4" xfId="0" applyNumberFormat="1" applyBorder="1"/>
    <xf numFmtId="2" fontId="0" fillId="0" borderId="7" xfId="0" applyNumberFormat="1" applyBorder="1"/>
    <xf numFmtId="2" fontId="0" fillId="0" borderId="8" xfId="0" applyNumberFormat="1" applyBorder="1"/>
    <xf numFmtId="2" fontId="0" fillId="0" borderId="39" xfId="0" applyNumberFormat="1" applyBorder="1"/>
    <xf numFmtId="11" fontId="0" fillId="0" borderId="40" xfId="0" applyNumberFormat="1" applyBorder="1"/>
    <xf numFmtId="0" fontId="0" fillId="0" borderId="40" xfId="0" applyBorder="1"/>
    <xf numFmtId="0" fontId="2" fillId="0" borderId="39" xfId="0" applyFont="1" applyBorder="1"/>
    <xf numFmtId="0" fontId="2" fillId="0" borderId="7" xfId="0" applyFont="1" applyBorder="1" applyProtection="1">
      <protection locked="0"/>
    </xf>
    <xf numFmtId="0" fontId="2" fillId="0" borderId="8" xfId="0" applyFont="1" applyBorder="1" applyProtection="1">
      <protection locked="0"/>
    </xf>
    <xf numFmtId="0" fontId="2" fillId="0" borderId="39" xfId="0" applyFont="1" applyBorder="1" applyProtection="1">
      <protection locked="0"/>
    </xf>
    <xf numFmtId="0" fontId="0" fillId="0" borderId="6" xfId="0" applyFill="1" applyBorder="1"/>
    <xf numFmtId="164" fontId="0" fillId="0" borderId="6" xfId="0" applyNumberFormat="1" applyFill="1" applyBorder="1"/>
    <xf numFmtId="0" fontId="0" fillId="0" borderId="39" xfId="0" applyFill="1" applyBorder="1"/>
    <xf numFmtId="164" fontId="0" fillId="0" borderId="39" xfId="0" applyNumberFormat="1" applyFill="1" applyBorder="1"/>
    <xf numFmtId="164" fontId="0" fillId="0" borderId="40" xfId="0" applyNumberFormat="1" applyFill="1" applyBorder="1"/>
    <xf numFmtId="2" fontId="0" fillId="0" borderId="39" xfId="0" applyNumberFormat="1" applyFill="1" applyBorder="1"/>
    <xf numFmtId="2" fontId="0" fillId="0" borderId="40" xfId="0" applyNumberFormat="1" applyFill="1" applyBorder="1"/>
    <xf numFmtId="1" fontId="0" fillId="0" borderId="5" xfId="0" applyNumberFormat="1" applyFill="1" applyBorder="1"/>
    <xf numFmtId="0" fontId="13" fillId="11" borderId="11" xfId="0" applyFont="1" applyFill="1" applyBorder="1"/>
    <xf numFmtId="2" fontId="13" fillId="11" borderId="11" xfId="0" applyNumberFormat="1" applyFont="1" applyFill="1" applyBorder="1"/>
    <xf numFmtId="0" fontId="1" fillId="0" borderId="0" xfId="1" applyFont="1" applyBorder="1"/>
    <xf numFmtId="0" fontId="1" fillId="0" borderId="0" xfId="0" applyFont="1" applyBorder="1" applyAlignment="1">
      <alignment horizontal="left" vertical="center"/>
    </xf>
    <xf numFmtId="0" fontId="2" fillId="0" borderId="0" xfId="0" applyFont="1" applyBorder="1"/>
    <xf numFmtId="0" fontId="2" fillId="0" borderId="39" xfId="0" applyFont="1" applyFill="1" applyBorder="1"/>
    <xf numFmtId="0" fontId="12" fillId="11" borderId="0" xfId="0" applyFont="1" applyFill="1" applyBorder="1" applyAlignment="1">
      <alignment horizontal="left" wrapText="1"/>
    </xf>
    <xf numFmtId="167" fontId="0" fillId="5" borderId="9" xfId="0" applyNumberFormat="1" applyFill="1" applyBorder="1"/>
    <xf numFmtId="167" fontId="0" fillId="0" borderId="0" xfId="0" applyNumberFormat="1"/>
    <xf numFmtId="164" fontId="13" fillId="11" borderId="41" xfId="0" applyNumberFormat="1" applyFont="1" applyFill="1" applyBorder="1"/>
    <xf numFmtId="164" fontId="13" fillId="11" borderId="43" xfId="0" applyNumberFormat="1" applyFont="1" applyFill="1" applyBorder="1"/>
    <xf numFmtId="0" fontId="13" fillId="11" borderId="41" xfId="0" applyFont="1" applyFill="1" applyBorder="1"/>
    <xf numFmtId="2" fontId="13" fillId="11" borderId="43" xfId="0" applyNumberFormat="1" applyFont="1" applyFill="1" applyBorder="1"/>
    <xf numFmtId="0" fontId="13" fillId="11" borderId="42" xfId="0" applyFont="1" applyFill="1" applyBorder="1"/>
    <xf numFmtId="164" fontId="13" fillId="11" borderId="45" xfId="0" applyNumberFormat="1" applyFont="1" applyFill="1" applyBorder="1"/>
    <xf numFmtId="164" fontId="13" fillId="11" borderId="0" xfId="0" applyNumberFormat="1" applyFont="1" applyFill="1" applyBorder="1"/>
    <xf numFmtId="164" fontId="13" fillId="11" borderId="46" xfId="0" applyNumberFormat="1" applyFont="1" applyFill="1" applyBorder="1"/>
    <xf numFmtId="0" fontId="0" fillId="0" borderId="5" xfId="0" applyFont="1" applyBorder="1" applyAlignment="1" applyProtection="1">
      <alignment horizontal="center"/>
      <protection locked="0"/>
    </xf>
    <xf numFmtId="0" fontId="0" fillId="0" borderId="5" xfId="0" applyFill="1" applyBorder="1" applyAlignment="1" applyProtection="1">
      <alignment horizontal="center"/>
      <protection locked="0"/>
    </xf>
    <xf numFmtId="164" fontId="0" fillId="5" borderId="5" xfId="0" applyNumberFormat="1" applyFill="1" applyBorder="1"/>
    <xf numFmtId="2" fontId="0" fillId="0" borderId="0" xfId="0" applyNumberFormat="1" applyFill="1" applyBorder="1" applyAlignment="1" applyProtection="1">
      <alignment horizontal="center"/>
      <protection locked="0"/>
    </xf>
    <xf numFmtId="168" fontId="7" fillId="12" borderId="0" xfId="0" applyNumberFormat="1" applyFont="1" applyFill="1" applyBorder="1"/>
    <xf numFmtId="164" fontId="0" fillId="0" borderId="0" xfId="0" applyNumberFormat="1" applyFont="1" applyProtection="1">
      <protection locked="0"/>
    </xf>
    <xf numFmtId="0" fontId="0" fillId="0" borderId="0" xfId="0" applyFont="1" applyProtection="1">
      <protection locked="0"/>
    </xf>
    <xf numFmtId="2" fontId="0" fillId="0" borderId="2" xfId="0" applyNumberFormat="1" applyBorder="1" applyProtection="1">
      <protection locked="0"/>
    </xf>
    <xf numFmtId="2" fontId="0" fillId="0" borderId="0" xfId="0" applyNumberFormat="1" applyBorder="1" applyProtection="1">
      <protection locked="0"/>
    </xf>
    <xf numFmtId="167" fontId="0" fillId="0" borderId="9" xfId="0" applyNumberFormat="1" applyFill="1" applyBorder="1" applyProtection="1">
      <protection locked="0"/>
    </xf>
    <xf numFmtId="0" fontId="13" fillId="11" borderId="44" xfId="0" applyNumberFormat="1" applyFont="1" applyFill="1" applyBorder="1"/>
    <xf numFmtId="0" fontId="20" fillId="15" borderId="0" xfId="0" applyFont="1" applyFill="1" applyAlignment="1">
      <alignment horizontal="center"/>
    </xf>
    <xf numFmtId="0" fontId="22" fillId="11" borderId="34" xfId="0" applyFont="1" applyFill="1" applyBorder="1" applyAlignment="1">
      <alignment horizontal="center" vertical="center" wrapText="1"/>
    </xf>
    <xf numFmtId="0" fontId="22" fillId="11" borderId="10" xfId="0" applyFont="1" applyFill="1" applyBorder="1" applyAlignment="1">
      <alignment horizontal="center" vertical="center" wrapText="1"/>
    </xf>
    <xf numFmtId="0" fontId="22" fillId="11" borderId="9" xfId="0" applyFont="1" applyFill="1" applyBorder="1" applyAlignment="1">
      <alignment horizontal="center" vertical="center" wrapText="1"/>
    </xf>
    <xf numFmtId="0" fontId="12" fillId="11" borderId="1" xfId="0" applyFont="1" applyFill="1" applyBorder="1" applyAlignment="1">
      <alignment horizontal="center" vertical="center" wrapText="1"/>
    </xf>
    <xf numFmtId="0" fontId="12" fillId="11" borderId="3" xfId="0" applyFont="1" applyFill="1" applyBorder="1" applyAlignment="1">
      <alignment horizontal="center" vertical="center" wrapText="1"/>
    </xf>
    <xf numFmtId="0" fontId="12" fillId="11" borderId="4" xfId="0" applyFont="1" applyFill="1" applyBorder="1" applyAlignment="1">
      <alignment horizontal="center" vertical="center" wrapText="1"/>
    </xf>
    <xf numFmtId="0" fontId="12" fillId="11" borderId="6" xfId="0" applyFont="1" applyFill="1" applyBorder="1" applyAlignment="1">
      <alignment horizontal="center" vertical="center" wrapText="1"/>
    </xf>
    <xf numFmtId="0" fontId="12" fillId="11" borderId="1" xfId="0" applyFont="1" applyFill="1" applyBorder="1" applyAlignment="1">
      <alignment horizontal="center" vertical="top" wrapText="1"/>
    </xf>
    <xf numFmtId="0" fontId="12" fillId="11" borderId="2" xfId="0" applyFont="1" applyFill="1" applyBorder="1" applyAlignment="1">
      <alignment horizontal="center" vertical="top" wrapText="1"/>
    </xf>
    <xf numFmtId="0" fontId="12" fillId="11" borderId="3" xfId="0" applyFont="1" applyFill="1" applyBorder="1" applyAlignment="1">
      <alignment horizontal="center" vertical="top" wrapText="1"/>
    </xf>
    <xf numFmtId="0" fontId="25" fillId="11" borderId="2" xfId="0" applyFont="1" applyFill="1" applyBorder="1" applyAlignment="1">
      <alignment horizontal="center" vertical="top" wrapText="1"/>
    </xf>
    <xf numFmtId="0" fontId="25" fillId="11" borderId="3" xfId="0" applyFont="1" applyFill="1" applyBorder="1" applyAlignment="1">
      <alignment horizontal="center" vertical="top" wrapText="1"/>
    </xf>
    <xf numFmtId="0" fontId="25" fillId="11" borderId="5" xfId="0" applyFont="1" applyFill="1" applyBorder="1" applyAlignment="1">
      <alignment horizontal="center" vertical="top" wrapText="1"/>
    </xf>
    <xf numFmtId="0" fontId="25" fillId="11" borderId="6" xfId="0" applyFont="1" applyFill="1" applyBorder="1" applyAlignment="1">
      <alignment horizontal="center" vertical="top" wrapText="1"/>
    </xf>
    <xf numFmtId="0" fontId="12" fillId="11" borderId="4" xfId="0" applyFont="1" applyFill="1" applyBorder="1" applyAlignment="1">
      <alignment horizontal="center" vertical="top" wrapText="1"/>
    </xf>
    <xf numFmtId="0" fontId="12" fillId="11" borderId="5" xfId="0" applyFont="1" applyFill="1" applyBorder="1" applyAlignment="1">
      <alignment horizontal="center" vertical="top" wrapText="1"/>
    </xf>
    <xf numFmtId="0" fontId="12" fillId="11" borderId="6" xfId="0" applyFont="1" applyFill="1" applyBorder="1" applyAlignment="1">
      <alignment horizontal="center" vertical="top" wrapText="1"/>
    </xf>
    <xf numFmtId="0" fontId="12" fillId="11" borderId="5" xfId="0" applyFont="1" applyFill="1" applyBorder="1" applyAlignment="1">
      <alignment horizontal="center" vertical="center" wrapText="1"/>
    </xf>
    <xf numFmtId="0" fontId="20" fillId="15" borderId="13" xfId="0" applyFont="1" applyFill="1" applyBorder="1" applyAlignment="1">
      <alignment horizontal="center"/>
    </xf>
    <xf numFmtId="0" fontId="20" fillId="15" borderId="14" xfId="0" applyFont="1" applyFill="1" applyBorder="1" applyAlignment="1">
      <alignment horizontal="center"/>
    </xf>
    <xf numFmtId="0" fontId="20" fillId="15" borderId="15" xfId="0" applyFont="1" applyFill="1" applyBorder="1" applyAlignment="1">
      <alignment horizontal="center"/>
    </xf>
    <xf numFmtId="0" fontId="12" fillId="11" borderId="0" xfId="0" applyFont="1" applyFill="1" applyBorder="1" applyAlignment="1">
      <alignment horizontal="left" vertical="top" wrapText="1"/>
    </xf>
    <xf numFmtId="0" fontId="12" fillId="11" borderId="0" xfId="0" applyFont="1" applyFill="1" applyBorder="1" applyAlignment="1">
      <alignment horizontal="left" wrapText="1"/>
    </xf>
    <xf numFmtId="0" fontId="12" fillId="0" borderId="0" xfId="0" applyFont="1" applyFill="1" applyBorder="1" applyAlignment="1">
      <alignment horizontal="left" vertical="center" wrapText="1"/>
    </xf>
    <xf numFmtId="0" fontId="19" fillId="19" borderId="0" xfId="0" applyFont="1" applyFill="1" applyBorder="1" applyAlignment="1">
      <alignment horizontal="left" vertical="center" wrapText="1"/>
    </xf>
    <xf numFmtId="0" fontId="12" fillId="11" borderId="0" xfId="0" applyFont="1" applyFill="1" applyBorder="1" applyAlignment="1">
      <alignment horizontal="left" vertical="center" wrapText="1"/>
    </xf>
    <xf numFmtId="0" fontId="12" fillId="11" borderId="7" xfId="0" applyFont="1" applyFill="1" applyBorder="1" applyAlignment="1">
      <alignment horizontal="center" vertical="center" wrapText="1"/>
    </xf>
    <xf numFmtId="0" fontId="12" fillId="11" borderId="8" xfId="0" applyFont="1" applyFill="1" applyBorder="1" applyAlignment="1">
      <alignment horizontal="center" vertical="center" wrapText="1"/>
    </xf>
    <xf numFmtId="0" fontId="12" fillId="11" borderId="0" xfId="0" applyFont="1" applyFill="1" applyBorder="1" applyAlignment="1">
      <alignment horizontal="center" vertical="top" wrapText="1"/>
    </xf>
    <xf numFmtId="0" fontId="12" fillId="11" borderId="8" xfId="0" applyFont="1" applyFill="1" applyBorder="1" applyAlignment="1">
      <alignment horizontal="center" vertical="top" wrapText="1"/>
    </xf>
    <xf numFmtId="0" fontId="25" fillId="11" borderId="7" xfId="0" applyFont="1" applyFill="1" applyBorder="1" applyAlignment="1">
      <alignment horizontal="center" vertical="top" wrapText="1"/>
    </xf>
    <xf numFmtId="0" fontId="25" fillId="11" borderId="0" xfId="0" applyFont="1" applyFill="1" applyBorder="1" applyAlignment="1">
      <alignment horizontal="center" vertical="top" wrapText="1"/>
    </xf>
    <xf numFmtId="0" fontId="25" fillId="11" borderId="8" xfId="0" applyFont="1" applyFill="1" applyBorder="1" applyAlignment="1">
      <alignment horizontal="center" vertical="top" wrapText="1"/>
    </xf>
    <xf numFmtId="0" fontId="12" fillId="11" borderId="7" xfId="0" applyFont="1" applyFill="1" applyBorder="1" applyAlignment="1">
      <alignment horizontal="center" vertical="top" wrapText="1"/>
    </xf>
    <xf numFmtId="0" fontId="25" fillId="11" borderId="1" xfId="0" applyFont="1" applyFill="1" applyBorder="1" applyAlignment="1">
      <alignment horizontal="center" vertical="top" wrapText="1"/>
    </xf>
    <xf numFmtId="0" fontId="25" fillId="11" borderId="4" xfId="0" applyFont="1" applyFill="1" applyBorder="1" applyAlignment="1">
      <alignment horizontal="center" vertical="top" wrapText="1"/>
    </xf>
    <xf numFmtId="0" fontId="12" fillId="11" borderId="34" xfId="0" applyFont="1" applyFill="1" applyBorder="1" applyAlignment="1">
      <alignment horizontal="center" vertical="center" wrapText="1"/>
    </xf>
    <xf numFmtId="0" fontId="12" fillId="11" borderId="10" xfId="0" applyFont="1" applyFill="1" applyBorder="1" applyAlignment="1">
      <alignment horizontal="center" vertical="center" wrapText="1"/>
    </xf>
    <xf numFmtId="0" fontId="12" fillId="11" borderId="0" xfId="0" applyFont="1" applyFill="1" applyBorder="1" applyAlignment="1">
      <alignment horizontal="left"/>
    </xf>
    <xf numFmtId="0" fontId="12" fillId="0" borderId="0" xfId="0" applyFont="1" applyFill="1" applyBorder="1" applyAlignment="1">
      <alignment horizontal="left" wrapText="1"/>
    </xf>
    <xf numFmtId="0" fontId="0" fillId="11" borderId="0" xfId="0" applyFill="1" applyBorder="1" applyAlignment="1">
      <alignment horizontal="left" wrapText="1"/>
    </xf>
    <xf numFmtId="0" fontId="2" fillId="0" borderId="17" xfId="0" applyFont="1" applyBorder="1" applyAlignment="1">
      <alignment horizontal="center"/>
    </xf>
    <xf numFmtId="0" fontId="2" fillId="0" borderId="0" xfId="0" applyFont="1" applyBorder="1" applyAlignment="1">
      <alignment horizontal="center"/>
    </xf>
    <xf numFmtId="0" fontId="2" fillId="0" borderId="18" xfId="0" applyFont="1" applyBorder="1" applyAlignment="1">
      <alignment horizontal="center"/>
    </xf>
    <xf numFmtId="0" fontId="19" fillId="15" borderId="13" xfId="0" applyFont="1" applyFill="1" applyBorder="1" applyAlignment="1">
      <alignment horizontal="center"/>
    </xf>
    <xf numFmtId="0" fontId="19" fillId="15" borderId="14" xfId="0" applyFont="1" applyFill="1" applyBorder="1" applyAlignment="1">
      <alignment horizontal="center"/>
    </xf>
    <xf numFmtId="0" fontId="19" fillId="15" borderId="15" xfId="0" applyFont="1" applyFill="1" applyBorder="1" applyAlignment="1">
      <alignment horizontal="center"/>
    </xf>
    <xf numFmtId="0" fontId="15" fillId="14" borderId="27" xfId="0" applyFont="1" applyFill="1" applyBorder="1" applyAlignment="1">
      <alignment horizontal="left"/>
    </xf>
    <xf numFmtId="0" fontId="15" fillId="14" borderId="0" xfId="0" applyFont="1" applyFill="1" applyBorder="1" applyAlignment="1">
      <alignment horizontal="left"/>
    </xf>
    <xf numFmtId="0" fontId="15" fillId="14" borderId="28" xfId="0" applyFont="1" applyFill="1" applyBorder="1" applyAlignment="1">
      <alignment horizontal="left"/>
    </xf>
    <xf numFmtId="0" fontId="16" fillId="15" borderId="1" xfId="0" applyFont="1" applyFill="1" applyBorder="1" applyAlignment="1">
      <alignment horizontal="center" vertical="center"/>
    </xf>
    <xf numFmtId="0" fontId="16" fillId="15" borderId="2" xfId="0" applyFont="1" applyFill="1" applyBorder="1" applyAlignment="1">
      <alignment horizontal="center" vertical="center"/>
    </xf>
    <xf numFmtId="0" fontId="16" fillId="15" borderId="3" xfId="0" applyFont="1" applyFill="1" applyBorder="1" applyAlignment="1">
      <alignment horizontal="center" vertical="center"/>
    </xf>
    <xf numFmtId="0" fontId="16" fillId="15" borderId="4" xfId="0" applyFont="1" applyFill="1" applyBorder="1" applyAlignment="1">
      <alignment horizontal="center" vertical="center"/>
    </xf>
    <xf numFmtId="0" fontId="16" fillId="15" borderId="5" xfId="0" applyFont="1" applyFill="1" applyBorder="1" applyAlignment="1">
      <alignment horizontal="center" vertical="center"/>
    </xf>
    <xf numFmtId="0" fontId="16" fillId="15" borderId="6" xfId="0" applyFont="1" applyFill="1" applyBorder="1" applyAlignment="1">
      <alignment horizontal="center" vertical="center"/>
    </xf>
    <xf numFmtId="0" fontId="17" fillId="15" borderId="13" xfId="0" applyFont="1" applyFill="1" applyBorder="1" applyAlignment="1">
      <alignment horizontal="left"/>
    </xf>
    <xf numFmtId="0" fontId="17" fillId="15" borderId="14" xfId="0" applyFont="1" applyFill="1" applyBorder="1" applyAlignment="1">
      <alignment horizontal="left"/>
    </xf>
    <xf numFmtId="0" fontId="17" fillId="15" borderId="15" xfId="0" applyFont="1" applyFill="1" applyBorder="1" applyAlignment="1">
      <alignment horizontal="left"/>
    </xf>
    <xf numFmtId="0" fontId="16" fillId="14" borderId="24" xfId="0" applyFont="1" applyFill="1" applyBorder="1" applyAlignment="1">
      <alignment horizontal="center" vertical="center"/>
    </xf>
    <xf numFmtId="0" fontId="16" fillId="14" borderId="25" xfId="0" applyFont="1" applyFill="1" applyBorder="1" applyAlignment="1">
      <alignment horizontal="center" vertical="center"/>
    </xf>
    <xf numFmtId="0" fontId="16" fillId="14" borderId="26" xfId="0" applyFont="1" applyFill="1" applyBorder="1" applyAlignment="1">
      <alignment horizontal="center" vertical="center"/>
    </xf>
    <xf numFmtId="0" fontId="16" fillId="14" borderId="27" xfId="0" applyFont="1" applyFill="1" applyBorder="1" applyAlignment="1">
      <alignment horizontal="center" vertical="center"/>
    </xf>
    <xf numFmtId="0" fontId="16" fillId="14" borderId="0" xfId="0" applyFont="1" applyFill="1" applyBorder="1" applyAlignment="1">
      <alignment horizontal="center" vertical="center"/>
    </xf>
    <xf numFmtId="0" fontId="16" fillId="14" borderId="28" xfId="0" applyFont="1" applyFill="1" applyBorder="1" applyAlignment="1">
      <alignment horizontal="center" vertical="center"/>
    </xf>
    <xf numFmtId="0" fontId="2" fillId="0" borderId="8" xfId="0" applyFont="1" applyBorder="1" applyAlignment="1">
      <alignment horizontal="center"/>
    </xf>
    <xf numFmtId="0" fontId="3" fillId="0" borderId="0" xfId="0" applyFont="1" applyAlignment="1">
      <alignment horizontal="center" vertical="center"/>
    </xf>
    <xf numFmtId="0" fontId="0" fillId="0" borderId="1" xfId="0" applyBorder="1" applyAlignment="1">
      <alignment horizontal="center" vertical="center" wrapText="1"/>
    </xf>
    <xf numFmtId="0" fontId="0" fillId="0" borderId="7" xfId="0" applyBorder="1" applyAlignment="1">
      <alignment horizontal="center" vertical="center" wrapText="1"/>
    </xf>
    <xf numFmtId="0" fontId="0" fillId="0" borderId="4" xfId="0" applyBorder="1" applyAlignment="1">
      <alignment horizontal="center" vertical="center" wrapText="1"/>
    </xf>
    <xf numFmtId="0" fontId="0" fillId="0" borderId="0" xfId="0" applyFont="1" applyBorder="1" applyAlignment="1">
      <alignment horizontal="center"/>
    </xf>
    <xf numFmtId="0" fontId="0" fillId="0" borderId="8" xfId="0" applyFont="1" applyBorder="1" applyAlignment="1">
      <alignment horizontal="center"/>
    </xf>
    <xf numFmtId="0" fontId="0" fillId="0" borderId="7" xfId="0" applyFont="1" applyBorder="1" applyAlignment="1">
      <alignment horizontal="center"/>
    </xf>
    <xf numFmtId="0" fontId="20" fillId="15" borderId="13" xfId="0" applyFont="1" applyFill="1" applyBorder="1" applyAlignment="1">
      <alignment horizontal="center" vertical="center"/>
    </xf>
    <xf numFmtId="0" fontId="20" fillId="15" borderId="14" xfId="0" applyFont="1" applyFill="1" applyBorder="1" applyAlignment="1">
      <alignment horizontal="center" vertical="center"/>
    </xf>
    <xf numFmtId="0" fontId="20" fillId="15" borderId="15" xfId="0" applyFont="1" applyFill="1" applyBorder="1" applyAlignment="1">
      <alignment horizontal="center" vertical="center"/>
    </xf>
    <xf numFmtId="0" fontId="4" fillId="0" borderId="0" xfId="0" applyFont="1" applyAlignment="1">
      <alignment horizontal="center" vertical="center"/>
    </xf>
  </cellXfs>
  <cellStyles count="5">
    <cellStyle name="Hyperlink" xfId="2" builtinId="8"/>
    <cellStyle name="Normal" xfId="0" builtinId="0"/>
    <cellStyle name="Normal 2" xfId="1" xr:uid="{6A90C3F8-37A5-46A6-A609-29D19FAFB73B}"/>
    <cellStyle name="Normal 2 2" xfId="3" xr:uid="{0657E18D-F59F-4DF3-B8EC-0A43B8A5D0B5}"/>
    <cellStyle name="Normal 3" xfId="4" xr:uid="{267F10A7-18A9-48FE-B33C-87D1A84A11EA}"/>
  </cellStyles>
  <dxfs count="27">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0"/>
        <name val="Calibri"/>
        <family val="2"/>
        <scheme val="minor"/>
      </font>
      <numFmt numFmtId="164" formatCode="0.000"/>
      <fill>
        <patternFill patternType="solid">
          <fgColor indexed="64"/>
          <bgColor theme="0"/>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0"/>
        <name val="Calibri"/>
        <family val="2"/>
        <scheme val="minor"/>
      </font>
      <numFmt numFmtId="164" formatCode="0.000"/>
      <fill>
        <patternFill patternType="solid">
          <fgColor indexed="64"/>
          <bgColor theme="0"/>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0"/>
        <name val="Calibri"/>
        <family val="2"/>
        <scheme val="minor"/>
      </font>
      <numFmt numFmtId="164" formatCode="0.000"/>
      <fill>
        <patternFill patternType="solid">
          <fgColor indexed="64"/>
          <bgColor theme="0"/>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0"/>
        <name val="Calibri"/>
        <family val="2"/>
        <scheme val="minor"/>
      </font>
      <numFmt numFmtId="164" formatCode="0.000"/>
      <fill>
        <patternFill patternType="solid">
          <fgColor indexed="64"/>
          <bgColor theme="0"/>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0"/>
        <name val="Calibri"/>
        <family val="2"/>
        <scheme val="minor"/>
      </font>
      <numFmt numFmtId="164" formatCode="0.000"/>
      <fill>
        <patternFill patternType="solid">
          <fgColor indexed="64"/>
          <bgColor theme="0"/>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0"/>
        <name val="Calibri"/>
        <family val="2"/>
        <scheme val="minor"/>
      </font>
      <numFmt numFmtId="164" formatCode="0.000"/>
      <fill>
        <patternFill patternType="solid">
          <fgColor indexed="64"/>
          <bgColor theme="0"/>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0"/>
        <name val="Calibri"/>
        <family val="2"/>
        <scheme val="minor"/>
      </font>
      <numFmt numFmtId="164" formatCode="0.000"/>
      <fill>
        <patternFill patternType="solid">
          <fgColor indexed="64"/>
          <bgColor theme="0"/>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0"/>
        <name val="Calibri"/>
        <family val="2"/>
        <scheme val="minor"/>
      </font>
      <numFmt numFmtId="164" formatCode="0.000"/>
      <fill>
        <patternFill patternType="solid">
          <fgColor indexed="64"/>
          <bgColor theme="0"/>
        </patternFill>
      </fill>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0"/>
        <name val="Calibri"/>
        <family val="2"/>
        <scheme val="minor"/>
      </font>
      <fill>
        <patternFill patternType="solid">
          <fgColor indexed="64"/>
          <bgColor theme="0"/>
        </patternFill>
      </fill>
    </dxf>
    <dxf>
      <font>
        <b/>
        <i val="0"/>
        <strike val="0"/>
        <condense val="0"/>
        <extend val="0"/>
        <outline val="0"/>
        <shadow val="0"/>
        <u val="none"/>
        <vertAlign val="baseline"/>
        <sz val="11"/>
        <color theme="0"/>
        <name val="Calibri"/>
        <family val="2"/>
        <scheme val="minor"/>
      </font>
      <fill>
        <patternFill patternType="solid">
          <fgColor indexed="64"/>
          <bgColor theme="0"/>
        </patternFill>
      </fill>
    </dxf>
  </dxfs>
  <tableStyles count="0" defaultTableStyle="TableStyleMedium2" defaultPivotStyle="PivotStyleLight16"/>
  <colors>
    <mruColors>
      <color rgb="FFFF99FF"/>
      <color rgb="FF66FFFF"/>
      <color rgb="FF00FF00"/>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'Summary Table'!$D$5</c:f>
              <c:strCache>
                <c:ptCount val="1"/>
                <c:pt idx="0">
                  <c:v>CO₂ Converted</c:v>
                </c:pt>
              </c:strCache>
            </c:strRef>
          </c:tx>
          <c:spPr>
            <a:solidFill>
              <a:schemeClr val="accent1"/>
            </a:solidFill>
            <a:ln>
              <a:noFill/>
            </a:ln>
            <a:effectLst/>
          </c:spPr>
          <c:invertIfNegative val="0"/>
          <c:cat>
            <c:multiLvlStrRef>
              <c:f>'Summary Table'!$A$6:$C$24</c:f>
              <c:multiLvlStrCache>
                <c:ptCount val="19"/>
                <c:lvl>
                  <c:pt idx="0">
                    <c:v>CWM</c:v>
                  </c:pt>
                  <c:pt idx="1">
                    <c:v>Calcite</c:v>
                  </c:pt>
                  <c:pt idx="2">
                    <c:v>Magnesite</c:v>
                  </c:pt>
                  <c:pt idx="3">
                    <c:v>Methane</c:v>
                  </c:pt>
                  <c:pt idx="4">
                    <c:v>Methanol</c:v>
                  </c:pt>
                  <c:pt idx="5">
                    <c:v>Diesel</c:v>
                  </c:pt>
                  <c:pt idx="6">
                    <c:v>Ethanol</c:v>
                  </c:pt>
                  <c:pt idx="7">
                    <c:v>Methane</c:v>
                  </c:pt>
                  <c:pt idx="8">
                    <c:v>Methanol</c:v>
                  </c:pt>
                  <c:pt idx="9">
                    <c:v>Diesel</c:v>
                  </c:pt>
                  <c:pt idx="10">
                    <c:v>Methanol</c:v>
                  </c:pt>
                  <c:pt idx="11">
                    <c:v>Methanol</c:v>
                  </c:pt>
                  <c:pt idx="12">
                    <c:v>Methane</c:v>
                  </c:pt>
                  <c:pt idx="13">
                    <c:v>Methanol</c:v>
                  </c:pt>
                  <c:pt idx="14">
                    <c:v>Diesel</c:v>
                  </c:pt>
                  <c:pt idx="15">
                    <c:v>Methane</c:v>
                  </c:pt>
                  <c:pt idx="16">
                    <c:v>Methanol</c:v>
                  </c:pt>
                  <c:pt idx="17">
                    <c:v>Diesel</c:v>
                  </c:pt>
                  <c:pt idx="18">
                    <c:v>Diesel</c:v>
                  </c:pt>
                </c:lvl>
                <c:lvl>
                  <c:pt idx="0">
                    <c:v>WMC</c:v>
                  </c:pt>
                  <c:pt idx="1">
                    <c:v>DMC-W</c:v>
                  </c:pt>
                  <c:pt idx="2">
                    <c:v>DMC-O</c:v>
                  </c:pt>
                  <c:pt idx="3">
                    <c:v>SOEC-CO</c:v>
                  </c:pt>
                  <c:pt idx="7">
                    <c:v>SOEC-EL</c:v>
                  </c:pt>
                  <c:pt idx="10">
                    <c:v>DMR-CO</c:v>
                  </c:pt>
                  <c:pt idx="11">
                    <c:v>DMR-H2</c:v>
                  </c:pt>
                  <c:pt idx="12">
                    <c:v>D-H2</c:v>
                  </c:pt>
                  <c:pt idx="15">
                    <c:v>P.CAT</c:v>
                  </c:pt>
                  <c:pt idx="17">
                    <c:v>P-DE</c:v>
                  </c:pt>
                  <c:pt idx="18">
                    <c:v>P-WE</c:v>
                  </c:pt>
                </c:lvl>
                <c:lvl>
                  <c:pt idx="0">
                    <c:v>CO₂ Mineralization</c:v>
                  </c:pt>
                  <c:pt idx="3">
                    <c:v>CO₂ Reduction Involving Electricity</c:v>
                  </c:pt>
                  <c:pt idx="10">
                    <c:v>CO₂ Reduction by Hydrocarbon</c:v>
                  </c:pt>
                  <c:pt idx="12">
                    <c:v>CO₂ Reduction by Hydrogen</c:v>
                  </c:pt>
                  <c:pt idx="15">
                    <c:v>CO₂ Reduction Involving Light</c:v>
                  </c:pt>
                  <c:pt idx="17">
                    <c:v>CO₂ Bioconversion</c:v>
                  </c:pt>
                </c:lvl>
              </c:multiLvlStrCache>
            </c:multiLvlStrRef>
          </c:cat>
          <c:val>
            <c:numRef>
              <c:f>'Summary Table'!$D$6:$D$24</c:f>
              <c:numCache>
                <c:formatCode>0.000</c:formatCode>
                <c:ptCount val="19"/>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numCache>
            </c:numRef>
          </c:val>
          <c:extLst>
            <c:ext xmlns:c16="http://schemas.microsoft.com/office/drawing/2014/chart" uri="{C3380CC4-5D6E-409C-BE32-E72D297353CC}">
              <c16:uniqueId val="{00000001-7817-4D91-AA52-B42ADCC1C112}"/>
            </c:ext>
          </c:extLst>
        </c:ser>
        <c:ser>
          <c:idx val="1"/>
          <c:order val="1"/>
          <c:tx>
            <c:strRef>
              <c:f>'Summary Table'!$E$5</c:f>
              <c:strCache>
                <c:ptCount val="1"/>
                <c:pt idx="0">
                  <c:v>CO₂ Capture Process</c:v>
                </c:pt>
              </c:strCache>
            </c:strRef>
          </c:tx>
          <c:spPr>
            <a:solidFill>
              <a:schemeClr val="accent6">
                <a:lumMod val="40000"/>
                <a:lumOff val="60000"/>
              </a:schemeClr>
            </a:solidFill>
            <a:ln>
              <a:noFill/>
            </a:ln>
            <a:effectLst/>
          </c:spPr>
          <c:invertIfNegative val="0"/>
          <c:cat>
            <c:multiLvlStrRef>
              <c:f>'Summary Table'!$A$6:$C$24</c:f>
              <c:multiLvlStrCache>
                <c:ptCount val="19"/>
                <c:lvl>
                  <c:pt idx="0">
                    <c:v>CWM</c:v>
                  </c:pt>
                  <c:pt idx="1">
                    <c:v>Calcite</c:v>
                  </c:pt>
                  <c:pt idx="2">
                    <c:v>Magnesite</c:v>
                  </c:pt>
                  <c:pt idx="3">
                    <c:v>Methane</c:v>
                  </c:pt>
                  <c:pt idx="4">
                    <c:v>Methanol</c:v>
                  </c:pt>
                  <c:pt idx="5">
                    <c:v>Diesel</c:v>
                  </c:pt>
                  <c:pt idx="6">
                    <c:v>Ethanol</c:v>
                  </c:pt>
                  <c:pt idx="7">
                    <c:v>Methane</c:v>
                  </c:pt>
                  <c:pt idx="8">
                    <c:v>Methanol</c:v>
                  </c:pt>
                  <c:pt idx="9">
                    <c:v>Diesel</c:v>
                  </c:pt>
                  <c:pt idx="10">
                    <c:v>Methanol</c:v>
                  </c:pt>
                  <c:pt idx="11">
                    <c:v>Methanol</c:v>
                  </c:pt>
                  <c:pt idx="12">
                    <c:v>Methane</c:v>
                  </c:pt>
                  <c:pt idx="13">
                    <c:v>Methanol</c:v>
                  </c:pt>
                  <c:pt idx="14">
                    <c:v>Diesel</c:v>
                  </c:pt>
                  <c:pt idx="15">
                    <c:v>Methane</c:v>
                  </c:pt>
                  <c:pt idx="16">
                    <c:v>Methanol</c:v>
                  </c:pt>
                  <c:pt idx="17">
                    <c:v>Diesel</c:v>
                  </c:pt>
                  <c:pt idx="18">
                    <c:v>Diesel</c:v>
                  </c:pt>
                </c:lvl>
                <c:lvl>
                  <c:pt idx="0">
                    <c:v>WMC</c:v>
                  </c:pt>
                  <c:pt idx="1">
                    <c:v>DMC-W</c:v>
                  </c:pt>
                  <c:pt idx="2">
                    <c:v>DMC-O</c:v>
                  </c:pt>
                  <c:pt idx="3">
                    <c:v>SOEC-CO</c:v>
                  </c:pt>
                  <c:pt idx="7">
                    <c:v>SOEC-EL</c:v>
                  </c:pt>
                  <c:pt idx="10">
                    <c:v>DMR-CO</c:v>
                  </c:pt>
                  <c:pt idx="11">
                    <c:v>DMR-H2</c:v>
                  </c:pt>
                  <c:pt idx="12">
                    <c:v>D-H2</c:v>
                  </c:pt>
                  <c:pt idx="15">
                    <c:v>P.CAT</c:v>
                  </c:pt>
                  <c:pt idx="17">
                    <c:v>P-DE</c:v>
                  </c:pt>
                  <c:pt idx="18">
                    <c:v>P-WE</c:v>
                  </c:pt>
                </c:lvl>
                <c:lvl>
                  <c:pt idx="0">
                    <c:v>CO₂ Mineralization</c:v>
                  </c:pt>
                  <c:pt idx="3">
                    <c:v>CO₂ Reduction Involving Electricity</c:v>
                  </c:pt>
                  <c:pt idx="10">
                    <c:v>CO₂ Reduction by Hydrocarbon</c:v>
                  </c:pt>
                  <c:pt idx="12">
                    <c:v>CO₂ Reduction by Hydrogen</c:v>
                  </c:pt>
                  <c:pt idx="15">
                    <c:v>CO₂ Reduction Involving Light</c:v>
                  </c:pt>
                  <c:pt idx="17">
                    <c:v>CO₂ Bioconversion</c:v>
                  </c:pt>
                </c:lvl>
              </c:multiLvlStrCache>
            </c:multiLvlStrRef>
          </c:cat>
          <c:val>
            <c:numRef>
              <c:f>'Summary Table'!$E$6:$E$24</c:f>
              <c:numCache>
                <c:formatCode>0.000</c:formatCode>
                <c:ptCount val="19"/>
                <c:pt idx="0">
                  <c:v>0.18</c:v>
                </c:pt>
                <c:pt idx="1">
                  <c:v>0.18</c:v>
                </c:pt>
                <c:pt idx="2">
                  <c:v>0.18</c:v>
                </c:pt>
                <c:pt idx="3">
                  <c:v>0.20071847507331378</c:v>
                </c:pt>
                <c:pt idx="4">
                  <c:v>0.20071847507331378</c:v>
                </c:pt>
                <c:pt idx="5">
                  <c:v>0.20071847507331378</c:v>
                </c:pt>
                <c:pt idx="6">
                  <c:v>0.16731130250614693</c:v>
                </c:pt>
                <c:pt idx="7">
                  <c:v>0.20002909090909091</c:v>
                </c:pt>
                <c:pt idx="8">
                  <c:v>0.20004366812227073</c:v>
                </c:pt>
                <c:pt idx="9">
                  <c:v>0.19999999999999998</c:v>
                </c:pt>
                <c:pt idx="10">
                  <c:v>0.18344959754695286</c:v>
                </c:pt>
                <c:pt idx="11">
                  <c:v>0.18446774069220687</c:v>
                </c:pt>
                <c:pt idx="12">
                  <c:v>0.19999999999999998</c:v>
                </c:pt>
                <c:pt idx="13">
                  <c:v>0.19179541822056473</c:v>
                </c:pt>
                <c:pt idx="14">
                  <c:v>0.19999604383431577</c:v>
                </c:pt>
                <c:pt idx="15">
                  <c:v>0.23203636363636362</c:v>
                </c:pt>
                <c:pt idx="16">
                  <c:v>0.21127631578947367</c:v>
                </c:pt>
                <c:pt idx="17">
                  <c:v>0.18</c:v>
                </c:pt>
                <c:pt idx="18">
                  <c:v>0.18</c:v>
                </c:pt>
              </c:numCache>
            </c:numRef>
          </c:val>
          <c:extLst>
            <c:ext xmlns:c16="http://schemas.microsoft.com/office/drawing/2014/chart" uri="{C3380CC4-5D6E-409C-BE32-E72D297353CC}">
              <c16:uniqueId val="{00000002-7817-4D91-AA52-B42ADCC1C112}"/>
            </c:ext>
          </c:extLst>
        </c:ser>
        <c:ser>
          <c:idx val="2"/>
          <c:order val="2"/>
          <c:tx>
            <c:strRef>
              <c:f>'Summary Table'!$F$5</c:f>
              <c:strCache>
                <c:ptCount val="1"/>
                <c:pt idx="0">
                  <c:v>Electrolysis</c:v>
                </c:pt>
              </c:strCache>
            </c:strRef>
          </c:tx>
          <c:spPr>
            <a:solidFill>
              <a:schemeClr val="accent3">
                <a:lumMod val="60000"/>
                <a:lumOff val="40000"/>
              </a:schemeClr>
            </a:solidFill>
            <a:ln>
              <a:noFill/>
            </a:ln>
            <a:effectLst/>
          </c:spPr>
          <c:invertIfNegative val="0"/>
          <c:cat>
            <c:multiLvlStrRef>
              <c:f>'Summary Table'!$A$6:$C$24</c:f>
              <c:multiLvlStrCache>
                <c:ptCount val="19"/>
                <c:lvl>
                  <c:pt idx="0">
                    <c:v>CWM</c:v>
                  </c:pt>
                  <c:pt idx="1">
                    <c:v>Calcite</c:v>
                  </c:pt>
                  <c:pt idx="2">
                    <c:v>Magnesite</c:v>
                  </c:pt>
                  <c:pt idx="3">
                    <c:v>Methane</c:v>
                  </c:pt>
                  <c:pt idx="4">
                    <c:v>Methanol</c:v>
                  </c:pt>
                  <c:pt idx="5">
                    <c:v>Diesel</c:v>
                  </c:pt>
                  <c:pt idx="6">
                    <c:v>Ethanol</c:v>
                  </c:pt>
                  <c:pt idx="7">
                    <c:v>Methane</c:v>
                  </c:pt>
                  <c:pt idx="8">
                    <c:v>Methanol</c:v>
                  </c:pt>
                  <c:pt idx="9">
                    <c:v>Diesel</c:v>
                  </c:pt>
                  <c:pt idx="10">
                    <c:v>Methanol</c:v>
                  </c:pt>
                  <c:pt idx="11">
                    <c:v>Methanol</c:v>
                  </c:pt>
                  <c:pt idx="12">
                    <c:v>Methane</c:v>
                  </c:pt>
                  <c:pt idx="13">
                    <c:v>Methanol</c:v>
                  </c:pt>
                  <c:pt idx="14">
                    <c:v>Diesel</c:v>
                  </c:pt>
                  <c:pt idx="15">
                    <c:v>Methane</c:v>
                  </c:pt>
                  <c:pt idx="16">
                    <c:v>Methanol</c:v>
                  </c:pt>
                  <c:pt idx="17">
                    <c:v>Diesel</c:v>
                  </c:pt>
                  <c:pt idx="18">
                    <c:v>Diesel</c:v>
                  </c:pt>
                </c:lvl>
                <c:lvl>
                  <c:pt idx="0">
                    <c:v>WMC</c:v>
                  </c:pt>
                  <c:pt idx="1">
                    <c:v>DMC-W</c:v>
                  </c:pt>
                  <c:pt idx="2">
                    <c:v>DMC-O</c:v>
                  </c:pt>
                  <c:pt idx="3">
                    <c:v>SOEC-CO</c:v>
                  </c:pt>
                  <c:pt idx="7">
                    <c:v>SOEC-EL</c:v>
                  </c:pt>
                  <c:pt idx="10">
                    <c:v>DMR-CO</c:v>
                  </c:pt>
                  <c:pt idx="11">
                    <c:v>DMR-H2</c:v>
                  </c:pt>
                  <c:pt idx="12">
                    <c:v>D-H2</c:v>
                  </c:pt>
                  <c:pt idx="15">
                    <c:v>P.CAT</c:v>
                  </c:pt>
                  <c:pt idx="17">
                    <c:v>P-DE</c:v>
                  </c:pt>
                  <c:pt idx="18">
                    <c:v>P-WE</c:v>
                  </c:pt>
                </c:lvl>
                <c:lvl>
                  <c:pt idx="0">
                    <c:v>CO₂ Mineralization</c:v>
                  </c:pt>
                  <c:pt idx="3">
                    <c:v>CO₂ Reduction Involving Electricity</c:v>
                  </c:pt>
                  <c:pt idx="10">
                    <c:v>CO₂ Reduction by Hydrocarbon</c:v>
                  </c:pt>
                  <c:pt idx="12">
                    <c:v>CO₂ Reduction by Hydrogen</c:v>
                  </c:pt>
                  <c:pt idx="15">
                    <c:v>CO₂ Reduction Involving Light</c:v>
                  </c:pt>
                  <c:pt idx="17">
                    <c:v>CO₂ Bioconversion</c:v>
                  </c:pt>
                </c:lvl>
              </c:multiLvlStrCache>
            </c:multiLvlStrRef>
          </c:cat>
          <c:val>
            <c:numRef>
              <c:f>'Summary Table'!$F$6:$F$24</c:f>
              <c:numCache>
                <c:formatCode>0.000</c:formatCode>
                <c:ptCount val="19"/>
                <c:pt idx="0">
                  <c:v>0</c:v>
                </c:pt>
                <c:pt idx="1">
                  <c:v>0</c:v>
                </c:pt>
                <c:pt idx="2">
                  <c:v>0</c:v>
                </c:pt>
                <c:pt idx="3">
                  <c:v>0.92054618768328433</c:v>
                </c:pt>
                <c:pt idx="4">
                  <c:v>0</c:v>
                </c:pt>
                <c:pt idx="5">
                  <c:v>0</c:v>
                </c:pt>
                <c:pt idx="6">
                  <c:v>0</c:v>
                </c:pt>
                <c:pt idx="7">
                  <c:v>3.7988363636363633</c:v>
                </c:pt>
                <c:pt idx="8">
                  <c:v>2.7634716157205235</c:v>
                </c:pt>
                <c:pt idx="9">
                  <c:v>3.8157481672025724</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3-7817-4D91-AA52-B42ADCC1C112}"/>
            </c:ext>
          </c:extLst>
        </c:ser>
        <c:ser>
          <c:idx val="3"/>
          <c:order val="3"/>
          <c:tx>
            <c:strRef>
              <c:f>'Summary Table'!$G$5</c:f>
              <c:strCache>
                <c:ptCount val="1"/>
                <c:pt idx="0">
                  <c:v>CO₂ Conversion Process</c:v>
                </c:pt>
              </c:strCache>
            </c:strRef>
          </c:tx>
          <c:spPr>
            <a:solidFill>
              <a:schemeClr val="accent3">
                <a:lumMod val="75000"/>
              </a:schemeClr>
            </a:solidFill>
            <a:ln>
              <a:noFill/>
            </a:ln>
            <a:effectLst/>
          </c:spPr>
          <c:invertIfNegative val="0"/>
          <c:cat>
            <c:multiLvlStrRef>
              <c:f>'Summary Table'!$A$6:$C$24</c:f>
              <c:multiLvlStrCache>
                <c:ptCount val="19"/>
                <c:lvl>
                  <c:pt idx="0">
                    <c:v>CWM</c:v>
                  </c:pt>
                  <c:pt idx="1">
                    <c:v>Calcite</c:v>
                  </c:pt>
                  <c:pt idx="2">
                    <c:v>Magnesite</c:v>
                  </c:pt>
                  <c:pt idx="3">
                    <c:v>Methane</c:v>
                  </c:pt>
                  <c:pt idx="4">
                    <c:v>Methanol</c:v>
                  </c:pt>
                  <c:pt idx="5">
                    <c:v>Diesel</c:v>
                  </c:pt>
                  <c:pt idx="6">
                    <c:v>Ethanol</c:v>
                  </c:pt>
                  <c:pt idx="7">
                    <c:v>Methane</c:v>
                  </c:pt>
                  <c:pt idx="8">
                    <c:v>Methanol</c:v>
                  </c:pt>
                  <c:pt idx="9">
                    <c:v>Diesel</c:v>
                  </c:pt>
                  <c:pt idx="10">
                    <c:v>Methanol</c:v>
                  </c:pt>
                  <c:pt idx="11">
                    <c:v>Methanol</c:v>
                  </c:pt>
                  <c:pt idx="12">
                    <c:v>Methane</c:v>
                  </c:pt>
                  <c:pt idx="13">
                    <c:v>Methanol</c:v>
                  </c:pt>
                  <c:pt idx="14">
                    <c:v>Diesel</c:v>
                  </c:pt>
                  <c:pt idx="15">
                    <c:v>Methane</c:v>
                  </c:pt>
                  <c:pt idx="16">
                    <c:v>Methanol</c:v>
                  </c:pt>
                  <c:pt idx="17">
                    <c:v>Diesel</c:v>
                  </c:pt>
                  <c:pt idx="18">
                    <c:v>Diesel</c:v>
                  </c:pt>
                </c:lvl>
                <c:lvl>
                  <c:pt idx="0">
                    <c:v>WMC</c:v>
                  </c:pt>
                  <c:pt idx="1">
                    <c:v>DMC-W</c:v>
                  </c:pt>
                  <c:pt idx="2">
                    <c:v>DMC-O</c:v>
                  </c:pt>
                  <c:pt idx="3">
                    <c:v>SOEC-CO</c:v>
                  </c:pt>
                  <c:pt idx="7">
                    <c:v>SOEC-EL</c:v>
                  </c:pt>
                  <c:pt idx="10">
                    <c:v>DMR-CO</c:v>
                  </c:pt>
                  <c:pt idx="11">
                    <c:v>DMR-H2</c:v>
                  </c:pt>
                  <c:pt idx="12">
                    <c:v>D-H2</c:v>
                  </c:pt>
                  <c:pt idx="15">
                    <c:v>P.CAT</c:v>
                  </c:pt>
                  <c:pt idx="17">
                    <c:v>P-DE</c:v>
                  </c:pt>
                  <c:pt idx="18">
                    <c:v>P-WE</c:v>
                  </c:pt>
                </c:lvl>
                <c:lvl>
                  <c:pt idx="0">
                    <c:v>CO₂ Mineralization</c:v>
                  </c:pt>
                  <c:pt idx="3">
                    <c:v>CO₂ Reduction Involving Electricity</c:v>
                  </c:pt>
                  <c:pt idx="10">
                    <c:v>CO₂ Reduction by Hydrocarbon</c:v>
                  </c:pt>
                  <c:pt idx="12">
                    <c:v>CO₂ Reduction by Hydrogen</c:v>
                  </c:pt>
                  <c:pt idx="15">
                    <c:v>CO₂ Reduction Involving Light</c:v>
                  </c:pt>
                  <c:pt idx="17">
                    <c:v>CO₂ Bioconversion</c:v>
                  </c:pt>
                </c:lvl>
              </c:multiLvlStrCache>
            </c:multiLvlStrRef>
          </c:cat>
          <c:val>
            <c:numRef>
              <c:f>'Summary Table'!$G$6:$G$24</c:f>
              <c:numCache>
                <c:formatCode>0.000</c:formatCode>
                <c:ptCount val="19"/>
                <c:pt idx="0">
                  <c:v>0.14243291059706667</c:v>
                </c:pt>
                <c:pt idx="1">
                  <c:v>0.24915535420008025</c:v>
                </c:pt>
                <c:pt idx="2">
                  <c:v>0.46775464761873248</c:v>
                </c:pt>
                <c:pt idx="3">
                  <c:v>2.7307780077211476</c:v>
                </c:pt>
                <c:pt idx="4">
                  <c:v>3.127196629422027</c:v>
                </c:pt>
                <c:pt idx="5">
                  <c:v>3.0849879720205236</c:v>
                </c:pt>
                <c:pt idx="6">
                  <c:v>3.7375771412996168</c:v>
                </c:pt>
                <c:pt idx="7">
                  <c:v>0.17096363636363637</c:v>
                </c:pt>
                <c:pt idx="8">
                  <c:v>0.56462154294032019</c:v>
                </c:pt>
                <c:pt idx="9">
                  <c:v>0.52828474455162555</c:v>
                </c:pt>
                <c:pt idx="10">
                  <c:v>2.9266931663717521</c:v>
                </c:pt>
                <c:pt idx="11">
                  <c:v>3.2630425090048187</c:v>
                </c:pt>
                <c:pt idx="12">
                  <c:v>2.1789474747474746</c:v>
                </c:pt>
                <c:pt idx="13">
                  <c:v>2.078823523244187</c:v>
                </c:pt>
                <c:pt idx="14">
                  <c:v>1.9615468607825297</c:v>
                </c:pt>
                <c:pt idx="15">
                  <c:v>0.33610527037344151</c:v>
                </c:pt>
                <c:pt idx="16">
                  <c:v>0.5475988315066127</c:v>
                </c:pt>
                <c:pt idx="17">
                  <c:v>0.59571110150696149</c:v>
                </c:pt>
                <c:pt idx="18">
                  <c:v>0.11278106508875739</c:v>
                </c:pt>
              </c:numCache>
            </c:numRef>
          </c:val>
          <c:extLst>
            <c:ext xmlns:c16="http://schemas.microsoft.com/office/drawing/2014/chart" uri="{C3380CC4-5D6E-409C-BE32-E72D297353CC}">
              <c16:uniqueId val="{00000004-7817-4D91-AA52-B42ADCC1C112}"/>
            </c:ext>
          </c:extLst>
        </c:ser>
        <c:ser>
          <c:idx val="4"/>
          <c:order val="4"/>
          <c:tx>
            <c:strRef>
              <c:f>'Summary Table'!$H$5</c:f>
              <c:strCache>
                <c:ptCount val="1"/>
                <c:pt idx="0">
                  <c:v>End Use</c:v>
                </c:pt>
              </c:strCache>
            </c:strRef>
          </c:tx>
          <c:spPr>
            <a:solidFill>
              <a:schemeClr val="accent4"/>
            </a:solidFill>
            <a:ln>
              <a:noFill/>
            </a:ln>
            <a:effectLst/>
          </c:spPr>
          <c:invertIfNegative val="0"/>
          <c:cat>
            <c:multiLvlStrRef>
              <c:f>'Summary Table'!$A$6:$C$24</c:f>
              <c:multiLvlStrCache>
                <c:ptCount val="19"/>
                <c:lvl>
                  <c:pt idx="0">
                    <c:v>CWM</c:v>
                  </c:pt>
                  <c:pt idx="1">
                    <c:v>Calcite</c:v>
                  </c:pt>
                  <c:pt idx="2">
                    <c:v>Magnesite</c:v>
                  </c:pt>
                  <c:pt idx="3">
                    <c:v>Methane</c:v>
                  </c:pt>
                  <c:pt idx="4">
                    <c:v>Methanol</c:v>
                  </c:pt>
                  <c:pt idx="5">
                    <c:v>Diesel</c:v>
                  </c:pt>
                  <c:pt idx="6">
                    <c:v>Ethanol</c:v>
                  </c:pt>
                  <c:pt idx="7">
                    <c:v>Methane</c:v>
                  </c:pt>
                  <c:pt idx="8">
                    <c:v>Methanol</c:v>
                  </c:pt>
                  <c:pt idx="9">
                    <c:v>Diesel</c:v>
                  </c:pt>
                  <c:pt idx="10">
                    <c:v>Methanol</c:v>
                  </c:pt>
                  <c:pt idx="11">
                    <c:v>Methanol</c:v>
                  </c:pt>
                  <c:pt idx="12">
                    <c:v>Methane</c:v>
                  </c:pt>
                  <c:pt idx="13">
                    <c:v>Methanol</c:v>
                  </c:pt>
                  <c:pt idx="14">
                    <c:v>Diesel</c:v>
                  </c:pt>
                  <c:pt idx="15">
                    <c:v>Methane</c:v>
                  </c:pt>
                  <c:pt idx="16">
                    <c:v>Methanol</c:v>
                  </c:pt>
                  <c:pt idx="17">
                    <c:v>Diesel</c:v>
                  </c:pt>
                  <c:pt idx="18">
                    <c:v>Diesel</c:v>
                  </c:pt>
                </c:lvl>
                <c:lvl>
                  <c:pt idx="0">
                    <c:v>WMC</c:v>
                  </c:pt>
                  <c:pt idx="1">
                    <c:v>DMC-W</c:v>
                  </c:pt>
                  <c:pt idx="2">
                    <c:v>DMC-O</c:v>
                  </c:pt>
                  <c:pt idx="3">
                    <c:v>SOEC-CO</c:v>
                  </c:pt>
                  <c:pt idx="7">
                    <c:v>SOEC-EL</c:v>
                  </c:pt>
                  <c:pt idx="10">
                    <c:v>DMR-CO</c:v>
                  </c:pt>
                  <c:pt idx="11">
                    <c:v>DMR-H2</c:v>
                  </c:pt>
                  <c:pt idx="12">
                    <c:v>D-H2</c:v>
                  </c:pt>
                  <c:pt idx="15">
                    <c:v>P.CAT</c:v>
                  </c:pt>
                  <c:pt idx="17">
                    <c:v>P-DE</c:v>
                  </c:pt>
                  <c:pt idx="18">
                    <c:v>P-WE</c:v>
                  </c:pt>
                </c:lvl>
                <c:lvl>
                  <c:pt idx="0">
                    <c:v>CO₂ Mineralization</c:v>
                  </c:pt>
                  <c:pt idx="3">
                    <c:v>CO₂ Reduction Involving Electricity</c:v>
                  </c:pt>
                  <c:pt idx="10">
                    <c:v>CO₂ Reduction by Hydrocarbon</c:v>
                  </c:pt>
                  <c:pt idx="12">
                    <c:v>CO₂ Reduction by Hydrogen</c:v>
                  </c:pt>
                  <c:pt idx="15">
                    <c:v>CO₂ Reduction Involving Light</c:v>
                  </c:pt>
                  <c:pt idx="17">
                    <c:v>CO₂ Bioconversion</c:v>
                  </c:pt>
                </c:lvl>
              </c:multiLvlStrCache>
            </c:multiLvlStrRef>
          </c:cat>
          <c:val>
            <c:numRef>
              <c:f>'Summary Table'!$H$6:$H$24</c:f>
              <c:numCache>
                <c:formatCode>0.000</c:formatCode>
                <c:ptCount val="19"/>
                <c:pt idx="0">
                  <c:v>2.1856377952755904E-3</c:v>
                </c:pt>
                <c:pt idx="1">
                  <c:v>6.5965309382257336E-4</c:v>
                </c:pt>
                <c:pt idx="2">
                  <c:v>8.4377962529790104E-4</c:v>
                </c:pt>
                <c:pt idx="3">
                  <c:v>1.0080645161290323</c:v>
                </c:pt>
                <c:pt idx="4">
                  <c:v>1.002607964603101</c:v>
                </c:pt>
                <c:pt idx="5">
                  <c:v>0.99132984827234472</c:v>
                </c:pt>
                <c:pt idx="6">
                  <c:v>1</c:v>
                </c:pt>
                <c:pt idx="7">
                  <c:v>1</c:v>
                </c:pt>
                <c:pt idx="8">
                  <c:v>0.99531096340511638</c:v>
                </c:pt>
                <c:pt idx="9">
                  <c:v>1</c:v>
                </c:pt>
                <c:pt idx="10">
                  <c:v>0.66464645856466953</c:v>
                </c:pt>
                <c:pt idx="11">
                  <c:v>1.469494199972073</c:v>
                </c:pt>
                <c:pt idx="12">
                  <c:v>1</c:v>
                </c:pt>
                <c:pt idx="13">
                  <c:v>0.99806399290519698</c:v>
                </c:pt>
                <c:pt idx="14">
                  <c:v>1</c:v>
                </c:pt>
                <c:pt idx="15">
                  <c:v>1</c:v>
                </c:pt>
                <c:pt idx="16">
                  <c:v>0.99967636236741952</c:v>
                </c:pt>
                <c:pt idx="17">
                  <c:v>0.36183724708314868</c:v>
                </c:pt>
                <c:pt idx="18">
                  <c:v>0.86982248520710059</c:v>
                </c:pt>
              </c:numCache>
            </c:numRef>
          </c:val>
          <c:extLst>
            <c:ext xmlns:c16="http://schemas.microsoft.com/office/drawing/2014/chart" uri="{C3380CC4-5D6E-409C-BE32-E72D297353CC}">
              <c16:uniqueId val="{00000005-7817-4D91-AA52-B42ADCC1C112}"/>
            </c:ext>
          </c:extLst>
        </c:ser>
        <c:dLbls>
          <c:showLegendKey val="0"/>
          <c:showVal val="0"/>
          <c:showCatName val="0"/>
          <c:showSerName val="0"/>
          <c:showPercent val="0"/>
          <c:showBubbleSize val="0"/>
        </c:dLbls>
        <c:gapWidth val="150"/>
        <c:overlap val="100"/>
        <c:axId val="1395909711"/>
        <c:axId val="1395969839"/>
      </c:barChart>
      <c:lineChart>
        <c:grouping val="standard"/>
        <c:varyColors val="0"/>
        <c:ser>
          <c:idx val="5"/>
          <c:order val="5"/>
          <c:tx>
            <c:strRef>
              <c:f>'Summary Table'!$I$5</c:f>
              <c:strCache>
                <c:ptCount val="1"/>
                <c:pt idx="0">
                  <c:v>Net</c:v>
                </c:pt>
              </c:strCache>
            </c:strRef>
          </c:tx>
          <c:spPr>
            <a:ln w="28575" cap="rnd">
              <a:noFill/>
              <a:round/>
            </a:ln>
            <a:effectLst/>
          </c:spPr>
          <c:marker>
            <c:symbol val="diamond"/>
            <c:size val="8"/>
            <c:spPr>
              <a:solidFill>
                <a:schemeClr val="bg1"/>
              </a:solidFill>
              <a:ln w="9525">
                <a:solidFill>
                  <a:schemeClr val="tx1"/>
                </a:solidFill>
              </a:ln>
              <a:effectLst/>
            </c:spPr>
          </c:marker>
          <c:cat>
            <c:multiLvlStrRef>
              <c:f>'Summary Table'!$A$6:$C$22</c:f>
              <c:multiLvlStrCache>
                <c:ptCount val="17"/>
                <c:lvl>
                  <c:pt idx="0">
                    <c:v>CWM</c:v>
                  </c:pt>
                  <c:pt idx="1">
                    <c:v>Calcite</c:v>
                  </c:pt>
                  <c:pt idx="2">
                    <c:v>Magnesite</c:v>
                  </c:pt>
                  <c:pt idx="3">
                    <c:v>Methane</c:v>
                  </c:pt>
                  <c:pt idx="4">
                    <c:v>Methanol</c:v>
                  </c:pt>
                  <c:pt idx="5">
                    <c:v>Diesel</c:v>
                  </c:pt>
                  <c:pt idx="6">
                    <c:v>Ethanol</c:v>
                  </c:pt>
                  <c:pt idx="7">
                    <c:v>Methane</c:v>
                  </c:pt>
                  <c:pt idx="8">
                    <c:v>Methanol</c:v>
                  </c:pt>
                  <c:pt idx="9">
                    <c:v>Diesel</c:v>
                  </c:pt>
                  <c:pt idx="10">
                    <c:v>Methanol</c:v>
                  </c:pt>
                  <c:pt idx="11">
                    <c:v>Methanol</c:v>
                  </c:pt>
                  <c:pt idx="12">
                    <c:v>Methane</c:v>
                  </c:pt>
                  <c:pt idx="13">
                    <c:v>Methanol</c:v>
                  </c:pt>
                  <c:pt idx="14">
                    <c:v>Diesel</c:v>
                  </c:pt>
                  <c:pt idx="15">
                    <c:v>Methane</c:v>
                  </c:pt>
                  <c:pt idx="16">
                    <c:v>Methanol</c:v>
                  </c:pt>
                </c:lvl>
                <c:lvl>
                  <c:pt idx="0">
                    <c:v>WMC</c:v>
                  </c:pt>
                  <c:pt idx="1">
                    <c:v>DMC-W</c:v>
                  </c:pt>
                  <c:pt idx="2">
                    <c:v>DMC-O</c:v>
                  </c:pt>
                  <c:pt idx="3">
                    <c:v>SOEC-CO</c:v>
                  </c:pt>
                  <c:pt idx="7">
                    <c:v>SOEC-EL</c:v>
                  </c:pt>
                  <c:pt idx="10">
                    <c:v>DMR-CO</c:v>
                  </c:pt>
                  <c:pt idx="11">
                    <c:v>DMR-H2</c:v>
                  </c:pt>
                  <c:pt idx="12">
                    <c:v>D-H2</c:v>
                  </c:pt>
                  <c:pt idx="15">
                    <c:v>P.CAT</c:v>
                  </c:pt>
                </c:lvl>
                <c:lvl>
                  <c:pt idx="0">
                    <c:v>CO₂ Mineralization</c:v>
                  </c:pt>
                  <c:pt idx="3">
                    <c:v>CO₂ Reduction Involving Electricity</c:v>
                  </c:pt>
                  <c:pt idx="10">
                    <c:v>CO₂ Reduction by Hydrocarbon</c:v>
                  </c:pt>
                  <c:pt idx="12">
                    <c:v>CO₂ Reduction by Hydrogen</c:v>
                  </c:pt>
                  <c:pt idx="15">
                    <c:v>CO₂ Reduction Involving Light</c:v>
                  </c:pt>
                </c:lvl>
              </c:multiLvlStrCache>
            </c:multiLvlStrRef>
          </c:cat>
          <c:val>
            <c:numRef>
              <c:f>'Summary Table'!$I$6:$I$24</c:f>
              <c:numCache>
                <c:formatCode>0.000</c:formatCode>
                <c:ptCount val="19"/>
                <c:pt idx="0">
                  <c:v>-0.67538145160765772</c:v>
                </c:pt>
                <c:pt idx="1">
                  <c:v>-0.57018499270609724</c:v>
                </c:pt>
                <c:pt idx="2">
                  <c:v>-0.35140157275596967</c:v>
                </c:pt>
                <c:pt idx="3">
                  <c:v>3.8601071866067782</c:v>
                </c:pt>
                <c:pt idx="4">
                  <c:v>3.330523069098442</c:v>
                </c:pt>
                <c:pt idx="5">
                  <c:v>3.277036295366182</c:v>
                </c:pt>
                <c:pt idx="6">
                  <c:v>3.9048884438057638</c:v>
                </c:pt>
                <c:pt idx="7">
                  <c:v>4.16982909090909</c:v>
                </c:pt>
                <c:pt idx="8">
                  <c:v>3.5234477901882308</c:v>
                </c:pt>
                <c:pt idx="9">
                  <c:v>4.5440329117541971</c:v>
                </c:pt>
                <c:pt idx="10">
                  <c:v>2.7747892224833746</c:v>
                </c:pt>
                <c:pt idx="11">
                  <c:v>3.9170044496690988</c:v>
                </c:pt>
                <c:pt idx="12">
                  <c:v>2.3789474747474744</c:v>
                </c:pt>
                <c:pt idx="13">
                  <c:v>2.2686829343699486</c:v>
                </c:pt>
                <c:pt idx="14">
                  <c:v>2.1615429046168453</c:v>
                </c:pt>
                <c:pt idx="15">
                  <c:v>0.56814163400980511</c:v>
                </c:pt>
                <c:pt idx="16">
                  <c:v>0.75855150966350593</c:v>
                </c:pt>
                <c:pt idx="17">
                  <c:v>0.13754834859011023</c:v>
                </c:pt>
                <c:pt idx="18">
                  <c:v>0.16260355029585805</c:v>
                </c:pt>
              </c:numCache>
            </c:numRef>
          </c:val>
          <c:smooth val="0"/>
          <c:extLst>
            <c:ext xmlns:c16="http://schemas.microsoft.com/office/drawing/2014/chart" uri="{C3380CC4-5D6E-409C-BE32-E72D297353CC}">
              <c16:uniqueId val="{00000006-7817-4D91-AA52-B42ADCC1C112}"/>
            </c:ext>
          </c:extLst>
        </c:ser>
        <c:dLbls>
          <c:showLegendKey val="0"/>
          <c:showVal val="0"/>
          <c:showCatName val="0"/>
          <c:showSerName val="0"/>
          <c:showPercent val="0"/>
          <c:showBubbleSize val="0"/>
        </c:dLbls>
        <c:marker val="1"/>
        <c:smooth val="0"/>
        <c:axId val="1395909711"/>
        <c:axId val="1395969839"/>
        <c:extLst>
          <c:ext xmlns:c15="http://schemas.microsoft.com/office/drawing/2012/chart" uri="{02D57815-91ED-43cb-92C2-25804820EDAC}">
            <c15:filteredLineSeries>
              <c15:ser>
                <c:idx val="6"/>
                <c:order val="6"/>
                <c:tx>
                  <c:v>Additional Literature Values</c:v>
                </c:tx>
                <c:spPr>
                  <a:ln w="28575" cap="rnd">
                    <a:noFill/>
                    <a:round/>
                  </a:ln>
                  <a:effectLst/>
                  <a:extLst>
                    <a:ext uri="{91240B29-F687-4F45-9708-019B960494DF}">
                      <a14:hiddenLine xmlns:a14="http://schemas.microsoft.com/office/drawing/2010/main" w="28575" cap="rnd">
                        <a:solidFill>
                          <a:srgbClr val="4472C4">
                            <a:lumMod val="60000"/>
                          </a:srgbClr>
                        </a:solidFill>
                        <a:round/>
                      </a14:hiddenLine>
                    </a:ext>
                  </a:extLst>
                </c:spPr>
                <c:marker>
                  <c:symbol val="diamond"/>
                  <c:size val="7"/>
                  <c:spPr>
                    <a:solidFill>
                      <a:schemeClr val="tx1"/>
                    </a:solidFill>
                    <a:ln w="9525">
                      <a:solidFill>
                        <a:schemeClr val="tx1"/>
                      </a:solidFill>
                    </a:ln>
                    <a:effectLst/>
                  </c:spPr>
                </c:marker>
                <c:val>
                  <c:numRef>
                    <c:extLst>
                      <c:ext uri="{02D57815-91ED-43cb-92C2-25804820EDAC}">
                        <c15:formulaRef>
                          <c15:sqref>'Summary Table'!$J$6:$J$24</c15:sqref>
                        </c15:formulaRef>
                      </c:ext>
                    </c:extLst>
                    <c:numCache>
                      <c:formatCode>0.000</c:formatCode>
                      <c:ptCount val="19"/>
                      <c:pt idx="0">
                        <c:v>-0.57799999999999996</c:v>
                      </c:pt>
                      <c:pt idx="1">
                        <c:v>-0.58799999999999997</c:v>
                      </c:pt>
                      <c:pt idx="2">
                        <c:v>-0.47699999999999998</c:v>
                      </c:pt>
                      <c:pt idx="7">
                        <c:v>5.3929999999999998</c:v>
                      </c:pt>
                      <c:pt idx="8">
                        <c:v>4.04</c:v>
                      </c:pt>
                      <c:pt idx="12">
                        <c:v>4.6965174129353233</c:v>
                      </c:pt>
                      <c:pt idx="13">
                        <c:v>3.3305084745762716</c:v>
                      </c:pt>
                      <c:pt idx="15">
                        <c:v>9.6885813148788927E-2</c:v>
                      </c:pt>
                      <c:pt idx="16">
                        <c:v>0.38513513513513509</c:v>
                      </c:pt>
                      <c:pt idx="17">
                        <c:v>1.9269005847953216</c:v>
                      </c:pt>
                      <c:pt idx="18">
                        <c:v>2.5105263157894737</c:v>
                      </c:pt>
                    </c:numCache>
                  </c:numRef>
                </c:val>
                <c:smooth val="0"/>
                <c:extLst>
                  <c:ext xmlns:c16="http://schemas.microsoft.com/office/drawing/2014/chart" uri="{C3380CC4-5D6E-409C-BE32-E72D297353CC}">
                    <c16:uniqueId val="{00000018-FFE5-40FA-81DB-4C576304507A}"/>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'Summary Table'!$K$5</c15:sqref>
                        </c15:formulaRef>
                      </c:ext>
                    </c:extLst>
                    <c:strCache>
                      <c:ptCount val="1"/>
                      <c:pt idx="0">
                        <c:v>Lit2</c:v>
                      </c:pt>
                    </c:strCache>
                  </c:strRef>
                </c:tx>
                <c:spPr>
                  <a:ln w="28575" cap="rnd">
                    <a:noFill/>
                    <a:round/>
                  </a:ln>
                  <a:effectLst/>
                  <a:extLst>
                    <a:ext uri="{91240B29-F687-4F45-9708-019B960494DF}">
                      <a14:hiddenLine xmlns:a14="http://schemas.microsoft.com/office/drawing/2010/main" w="28575" cap="rnd">
                        <a:solidFill>
                          <a:srgbClr val="ED7D31">
                            <a:lumMod val="60000"/>
                          </a:srgbClr>
                        </a:solidFill>
                        <a:round/>
                      </a14:hiddenLine>
                    </a:ext>
                  </a:extLst>
                </c:spPr>
                <c:marker>
                  <c:symbol val="diamond"/>
                  <c:size val="7"/>
                  <c:spPr>
                    <a:solidFill>
                      <a:schemeClr val="tx1"/>
                    </a:solidFill>
                    <a:ln w="9525">
                      <a:solidFill>
                        <a:schemeClr val="tx1"/>
                      </a:solidFill>
                    </a:ln>
                    <a:effectLst/>
                  </c:spPr>
                </c:marker>
                <c:val>
                  <c:numRef>
                    <c:extLst xmlns:c15="http://schemas.microsoft.com/office/drawing/2012/chart">
                      <c:ext xmlns:c15="http://schemas.microsoft.com/office/drawing/2012/chart" uri="{02D57815-91ED-43cb-92C2-25804820EDAC}">
                        <c15:formulaRef>
                          <c15:sqref>'Summary Table'!$K$6:$K$24</c15:sqref>
                        </c15:formulaRef>
                      </c:ext>
                    </c:extLst>
                    <c:numCache>
                      <c:formatCode>General</c:formatCode>
                      <c:ptCount val="19"/>
                      <c:pt idx="0" formatCode="0.000">
                        <c:v>-0.68400000000000005</c:v>
                      </c:pt>
                      <c:pt idx="2" formatCode="0.000">
                        <c:v>-0.46600000000000003</c:v>
                      </c:pt>
                      <c:pt idx="7" formatCode="0.000">
                        <c:v>4.3</c:v>
                      </c:pt>
                      <c:pt idx="8" formatCode="0.000">
                        <c:v>3.85</c:v>
                      </c:pt>
                      <c:pt idx="12" formatCode="0.000">
                        <c:v>4.9303482587064682</c:v>
                      </c:pt>
                      <c:pt idx="13" formatCode="0.000">
                        <c:v>3.8474576271186445</c:v>
                      </c:pt>
                      <c:pt idx="17" formatCode="0.000">
                        <c:v>0</c:v>
                      </c:pt>
                      <c:pt idx="18" formatCode="0.000">
                        <c:v>7.8947368421052599E-2</c:v>
                      </c:pt>
                    </c:numCache>
                  </c:numRef>
                </c:val>
                <c:smooth val="0"/>
                <c:extLst xmlns:c15="http://schemas.microsoft.com/office/drawing/2012/chart">
                  <c:ext xmlns:c16="http://schemas.microsoft.com/office/drawing/2014/chart" uri="{C3380CC4-5D6E-409C-BE32-E72D297353CC}">
                    <c16:uniqueId val="{00000019-FFE5-40FA-81DB-4C576304507A}"/>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'Summary Table'!$L$5</c15:sqref>
                        </c15:formulaRef>
                      </c:ext>
                    </c:extLst>
                    <c:strCache>
                      <c:ptCount val="1"/>
                      <c:pt idx="0">
                        <c:v>Lit3</c:v>
                      </c:pt>
                    </c:strCache>
                  </c:strRef>
                </c:tx>
                <c:spPr>
                  <a:ln w="25400" cap="rnd">
                    <a:noFill/>
                    <a:round/>
                  </a:ln>
                  <a:effectLst/>
                </c:spPr>
                <c:marker>
                  <c:symbol val="diamond"/>
                  <c:size val="7"/>
                  <c:spPr>
                    <a:solidFill>
                      <a:schemeClr val="tx1"/>
                    </a:solidFill>
                    <a:ln w="9525">
                      <a:solidFill>
                        <a:schemeClr val="tx1"/>
                      </a:solidFill>
                    </a:ln>
                    <a:effectLst/>
                  </c:spPr>
                </c:marker>
                <c:val>
                  <c:numRef>
                    <c:extLst xmlns:c15="http://schemas.microsoft.com/office/drawing/2012/chart">
                      <c:ext xmlns:c15="http://schemas.microsoft.com/office/drawing/2012/chart" uri="{02D57815-91ED-43cb-92C2-25804820EDAC}">
                        <c15:formulaRef>
                          <c15:sqref>'Summary Table'!$L$6:$L$24</c15:sqref>
                        </c15:formulaRef>
                      </c:ext>
                    </c:extLst>
                    <c:numCache>
                      <c:formatCode>General</c:formatCode>
                      <c:ptCount val="19"/>
                      <c:pt idx="0" formatCode="0.000">
                        <c:v>-0.70799999999999996</c:v>
                      </c:pt>
                      <c:pt idx="2" formatCode="0.000">
                        <c:v>-0.21299999999999999</c:v>
                      </c:pt>
                      <c:pt idx="7" formatCode="0.000">
                        <c:v>4.0599999999999996</c:v>
                      </c:pt>
                      <c:pt idx="8" formatCode="0.000">
                        <c:v>3.85</c:v>
                      </c:pt>
                      <c:pt idx="12" formatCode="0.000">
                        <c:v>5.1990049751243781</c:v>
                      </c:pt>
                      <c:pt idx="13" formatCode="0.000">
                        <c:v>4.1822033898305087</c:v>
                      </c:pt>
                      <c:pt idx="17" formatCode="0.000">
                        <c:v>0.64327485380116967</c:v>
                      </c:pt>
                      <c:pt idx="18" formatCode="0.000">
                        <c:v>0.49473684210526298</c:v>
                      </c:pt>
                    </c:numCache>
                  </c:numRef>
                </c:val>
                <c:smooth val="0"/>
                <c:extLst xmlns:c15="http://schemas.microsoft.com/office/drawing/2012/chart">
                  <c:ext xmlns:c16="http://schemas.microsoft.com/office/drawing/2014/chart" uri="{C3380CC4-5D6E-409C-BE32-E72D297353CC}">
                    <c16:uniqueId val="{0000001A-FFE5-40FA-81DB-4C576304507A}"/>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'Summary Table'!$M$5</c15:sqref>
                        </c15:formulaRef>
                      </c:ext>
                    </c:extLst>
                    <c:strCache>
                      <c:ptCount val="1"/>
                      <c:pt idx="0">
                        <c:v>Lit4</c:v>
                      </c:pt>
                    </c:strCache>
                  </c:strRef>
                </c:tx>
                <c:spPr>
                  <a:ln w="25400" cap="rnd">
                    <a:noFill/>
                    <a:round/>
                  </a:ln>
                  <a:effectLst/>
                </c:spPr>
                <c:marker>
                  <c:symbol val="diamond"/>
                  <c:size val="7"/>
                  <c:spPr>
                    <a:solidFill>
                      <a:schemeClr val="tx1"/>
                    </a:solidFill>
                    <a:ln w="9525">
                      <a:solidFill>
                        <a:schemeClr val="tx1"/>
                      </a:solidFill>
                    </a:ln>
                    <a:effectLst/>
                  </c:spPr>
                </c:marker>
                <c:val>
                  <c:numRef>
                    <c:extLst xmlns:c15="http://schemas.microsoft.com/office/drawing/2012/chart">
                      <c:ext xmlns:c15="http://schemas.microsoft.com/office/drawing/2012/chart" uri="{02D57815-91ED-43cb-92C2-25804820EDAC}">
                        <c15:formulaRef>
                          <c15:sqref>'Summary Table'!$M$6:$M$24</c15:sqref>
                        </c15:formulaRef>
                      </c:ext>
                    </c:extLst>
                    <c:numCache>
                      <c:formatCode>General</c:formatCode>
                      <c:ptCount val="19"/>
                      <c:pt idx="0" formatCode="0.000">
                        <c:v>-0.625</c:v>
                      </c:pt>
                      <c:pt idx="8" formatCode="0.000">
                        <c:v>3.43</c:v>
                      </c:pt>
                      <c:pt idx="13" formatCode="0.000">
                        <c:v>4.9406779661016955</c:v>
                      </c:pt>
                    </c:numCache>
                  </c:numRef>
                </c:val>
                <c:smooth val="0"/>
                <c:extLst xmlns:c15="http://schemas.microsoft.com/office/drawing/2012/chart">
                  <c:ext xmlns:c16="http://schemas.microsoft.com/office/drawing/2014/chart" uri="{C3380CC4-5D6E-409C-BE32-E72D297353CC}">
                    <c16:uniqueId val="{0000001B-FFE5-40FA-81DB-4C576304507A}"/>
                  </c:ext>
                </c:extLst>
              </c15:ser>
            </c15:filteredLineSeries>
          </c:ext>
        </c:extLst>
      </c:lineChart>
      <c:catAx>
        <c:axId val="1395909711"/>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1395969839"/>
        <c:crosses val="autoZero"/>
        <c:auto val="1"/>
        <c:lblAlgn val="ctr"/>
        <c:lblOffset val="100"/>
        <c:noMultiLvlLbl val="0"/>
      </c:catAx>
      <c:valAx>
        <c:axId val="1395969839"/>
        <c:scaling>
          <c:orientation val="minMax"/>
          <c:min val="-1"/>
        </c:scaling>
        <c:delete val="0"/>
        <c:axPos val="l"/>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sz="1800" b="1"/>
                  <a:t>Emissions (kg CO</a:t>
                </a:r>
                <a:r>
                  <a:rPr lang="en-US" sz="1800" b="1" baseline="-25000"/>
                  <a:t>2</a:t>
                </a:r>
                <a:r>
                  <a:rPr lang="en-US" sz="1800" b="1"/>
                  <a:t>eq emitted/kg CO</a:t>
                </a:r>
                <a:r>
                  <a:rPr lang="en-US" sz="1800" b="1" baseline="-25000"/>
                  <a:t>2</a:t>
                </a:r>
                <a:r>
                  <a:rPr lang="en-US" sz="1800" b="1"/>
                  <a:t> converted)</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39590971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1"/>
          <c:order val="0"/>
          <c:tx>
            <c:strRef>
              <c:f>'Main Input &amp; Output'!$BQ$1</c:f>
              <c:strCache>
                <c:ptCount val="1"/>
                <c:pt idx="0">
                  <c:v>CO₂ Converted</c:v>
                </c:pt>
              </c:strCache>
            </c:strRef>
          </c:tx>
          <c:spPr>
            <a:solidFill>
              <a:schemeClr val="accent1"/>
            </a:solidFill>
            <a:ln>
              <a:noFill/>
            </a:ln>
            <a:effectLst/>
          </c:spPr>
          <c:invertIfNegative val="0"/>
          <c:cat>
            <c:multiLvlStrRef>
              <c:f>'Main Input &amp; Output'!$BO$2:$BP$3</c:f>
              <c:multiLvlStrCache>
                <c:ptCount val="2"/>
                <c:lvl>
                  <c:pt idx="0">
                    <c:v>WMC</c:v>
                  </c:pt>
                  <c:pt idx="1">
                    <c:v> -</c:v>
                  </c:pt>
                </c:lvl>
                <c:lvl>
                  <c:pt idx="0">
                    <c:v>CO₂ Mineralization</c:v>
                  </c:pt>
                  <c:pt idx="1">
                    <c:v>Incumbent</c:v>
                  </c:pt>
                </c:lvl>
              </c:multiLvlStrCache>
            </c:multiLvlStrRef>
          </c:cat>
          <c:val>
            <c:numRef>
              <c:f>'Main Input &amp; Output'!$BQ$2:$BQ$3</c:f>
              <c:numCache>
                <c:formatCode>0.000</c:formatCode>
                <c:ptCount val="2"/>
                <c:pt idx="0">
                  <c:v>-0.20222929936305734</c:v>
                </c:pt>
              </c:numCache>
            </c:numRef>
          </c:val>
          <c:extLst>
            <c:ext xmlns:c16="http://schemas.microsoft.com/office/drawing/2014/chart" uri="{C3380CC4-5D6E-409C-BE32-E72D297353CC}">
              <c16:uniqueId val="{0000003E-8600-4EEC-BAD7-B8DD30F3E6D9}"/>
            </c:ext>
          </c:extLst>
        </c:ser>
        <c:ser>
          <c:idx val="2"/>
          <c:order val="1"/>
          <c:tx>
            <c:strRef>
              <c:f>'Main Input &amp; Output'!$BR$1</c:f>
              <c:strCache>
                <c:ptCount val="1"/>
                <c:pt idx="0">
                  <c:v>CO₂ Capture Process</c:v>
                </c:pt>
              </c:strCache>
            </c:strRef>
          </c:tx>
          <c:spPr>
            <a:solidFill>
              <a:schemeClr val="accent6">
                <a:lumMod val="20000"/>
                <a:lumOff val="80000"/>
              </a:schemeClr>
            </a:solidFill>
            <a:ln>
              <a:noFill/>
            </a:ln>
            <a:effectLst/>
          </c:spPr>
          <c:invertIfNegative val="0"/>
          <c:cat>
            <c:multiLvlStrRef>
              <c:f>'Main Input &amp; Output'!$BO$2:$BP$3</c:f>
              <c:multiLvlStrCache>
                <c:ptCount val="2"/>
                <c:lvl>
                  <c:pt idx="0">
                    <c:v>WMC</c:v>
                  </c:pt>
                  <c:pt idx="1">
                    <c:v> -</c:v>
                  </c:pt>
                </c:lvl>
                <c:lvl>
                  <c:pt idx="0">
                    <c:v>CO₂ Mineralization</c:v>
                  </c:pt>
                  <c:pt idx="1">
                    <c:v>Incumbent</c:v>
                  </c:pt>
                </c:lvl>
              </c:multiLvlStrCache>
            </c:multiLvlStrRef>
          </c:cat>
          <c:val>
            <c:numRef>
              <c:f>'Main Input &amp; Output'!$BR$2:$BR$3</c:f>
              <c:numCache>
                <c:formatCode>0.000</c:formatCode>
                <c:ptCount val="2"/>
                <c:pt idx="0">
                  <c:v>3.6401273885350319E-2</c:v>
                </c:pt>
              </c:numCache>
            </c:numRef>
          </c:val>
          <c:extLst>
            <c:ext xmlns:c16="http://schemas.microsoft.com/office/drawing/2014/chart" uri="{C3380CC4-5D6E-409C-BE32-E72D297353CC}">
              <c16:uniqueId val="{0000005D-8600-4EEC-BAD7-B8DD30F3E6D9}"/>
            </c:ext>
          </c:extLst>
        </c:ser>
        <c:ser>
          <c:idx val="3"/>
          <c:order val="2"/>
          <c:tx>
            <c:strRef>
              <c:f>'Main Input &amp; Output'!$BS$1</c:f>
              <c:strCache>
                <c:ptCount val="1"/>
                <c:pt idx="0">
                  <c:v>Electrolysis</c:v>
                </c:pt>
              </c:strCache>
            </c:strRef>
          </c:tx>
          <c:spPr>
            <a:solidFill>
              <a:schemeClr val="bg1">
                <a:lumMod val="85000"/>
              </a:schemeClr>
            </a:solidFill>
            <a:ln>
              <a:noFill/>
            </a:ln>
            <a:effectLst/>
          </c:spPr>
          <c:invertIfNegative val="0"/>
          <c:cat>
            <c:multiLvlStrRef>
              <c:f>'Main Input &amp; Output'!$BO$2:$BP$3</c:f>
              <c:multiLvlStrCache>
                <c:ptCount val="2"/>
                <c:lvl>
                  <c:pt idx="0">
                    <c:v>WMC</c:v>
                  </c:pt>
                  <c:pt idx="1">
                    <c:v> -</c:v>
                  </c:pt>
                </c:lvl>
                <c:lvl>
                  <c:pt idx="0">
                    <c:v>CO₂ Mineralization</c:v>
                  </c:pt>
                  <c:pt idx="1">
                    <c:v>Incumbent</c:v>
                  </c:pt>
                </c:lvl>
              </c:multiLvlStrCache>
            </c:multiLvlStrRef>
          </c:cat>
          <c:val>
            <c:numRef>
              <c:f>'Main Input &amp; Output'!$BS$2:$BS$3</c:f>
              <c:numCache>
                <c:formatCode>0.000</c:formatCode>
                <c:ptCount val="2"/>
                <c:pt idx="0">
                  <c:v>0</c:v>
                </c:pt>
              </c:numCache>
            </c:numRef>
          </c:val>
          <c:extLst>
            <c:ext xmlns:c16="http://schemas.microsoft.com/office/drawing/2014/chart" uri="{C3380CC4-5D6E-409C-BE32-E72D297353CC}">
              <c16:uniqueId val="{0000005E-8600-4EEC-BAD7-B8DD30F3E6D9}"/>
            </c:ext>
          </c:extLst>
        </c:ser>
        <c:ser>
          <c:idx val="4"/>
          <c:order val="3"/>
          <c:tx>
            <c:strRef>
              <c:f>'Main Input &amp; Output'!$BT$1</c:f>
              <c:strCache>
                <c:ptCount val="1"/>
                <c:pt idx="0">
                  <c:v>CO₂ Conversion Process</c:v>
                </c:pt>
              </c:strCache>
            </c:strRef>
          </c:tx>
          <c:spPr>
            <a:solidFill>
              <a:schemeClr val="bg1">
                <a:lumMod val="50000"/>
              </a:schemeClr>
            </a:solidFill>
            <a:ln>
              <a:noFill/>
            </a:ln>
            <a:effectLst/>
          </c:spPr>
          <c:invertIfNegative val="0"/>
          <c:cat>
            <c:multiLvlStrRef>
              <c:f>'Main Input &amp; Output'!$BO$2:$BP$3</c:f>
              <c:multiLvlStrCache>
                <c:ptCount val="2"/>
                <c:lvl>
                  <c:pt idx="0">
                    <c:v>WMC</c:v>
                  </c:pt>
                  <c:pt idx="1">
                    <c:v> -</c:v>
                  </c:pt>
                </c:lvl>
                <c:lvl>
                  <c:pt idx="0">
                    <c:v>CO₂ Mineralization</c:v>
                  </c:pt>
                  <c:pt idx="1">
                    <c:v>Incumbent</c:v>
                  </c:pt>
                </c:lvl>
              </c:multiLvlStrCache>
            </c:multiLvlStrRef>
          </c:cat>
          <c:val>
            <c:numRef>
              <c:f>'Main Input &amp; Output'!$BT$2:$BT$3</c:f>
              <c:numCache>
                <c:formatCode>0.000</c:formatCode>
                <c:ptCount val="2"/>
                <c:pt idx="0">
                  <c:v>0</c:v>
                </c:pt>
              </c:numCache>
            </c:numRef>
          </c:val>
          <c:extLst>
            <c:ext xmlns:c16="http://schemas.microsoft.com/office/drawing/2014/chart" uri="{C3380CC4-5D6E-409C-BE32-E72D297353CC}">
              <c16:uniqueId val="{0000006D-8600-4EEC-BAD7-B8DD30F3E6D9}"/>
            </c:ext>
          </c:extLst>
        </c:ser>
        <c:ser>
          <c:idx val="0"/>
          <c:order val="4"/>
          <c:tx>
            <c:strRef>
              <c:f>'Main Input &amp; Output'!$BU$1</c:f>
              <c:strCache>
                <c:ptCount val="1"/>
                <c:pt idx="0">
                  <c:v>End Use</c:v>
                </c:pt>
              </c:strCache>
            </c:strRef>
          </c:tx>
          <c:spPr>
            <a:solidFill>
              <a:schemeClr val="accent4"/>
            </a:solidFill>
            <a:ln>
              <a:noFill/>
            </a:ln>
            <a:effectLst/>
          </c:spPr>
          <c:invertIfNegative val="0"/>
          <c:cat>
            <c:multiLvlStrRef>
              <c:f>'Main Input &amp; Output'!$BO$2:$BP$3</c:f>
              <c:multiLvlStrCache>
                <c:ptCount val="2"/>
                <c:lvl>
                  <c:pt idx="0">
                    <c:v>WMC</c:v>
                  </c:pt>
                  <c:pt idx="1">
                    <c:v> -</c:v>
                  </c:pt>
                </c:lvl>
                <c:lvl>
                  <c:pt idx="0">
                    <c:v>CO₂ Mineralization</c:v>
                  </c:pt>
                  <c:pt idx="1">
                    <c:v>Incumbent</c:v>
                  </c:pt>
                </c:lvl>
              </c:multiLvlStrCache>
            </c:multiLvlStrRef>
          </c:cat>
          <c:val>
            <c:numRef>
              <c:f>'Main Input &amp; Output'!$BU$2:$BU$3</c:f>
              <c:numCache>
                <c:formatCode>0.000</c:formatCode>
                <c:ptCount val="2"/>
                <c:pt idx="0">
                  <c:v>4.4200000000000001E-4</c:v>
                </c:pt>
              </c:numCache>
            </c:numRef>
          </c:val>
          <c:extLst>
            <c:ext xmlns:c16="http://schemas.microsoft.com/office/drawing/2014/chart" uri="{C3380CC4-5D6E-409C-BE32-E72D297353CC}">
              <c16:uniqueId val="{00000004-AD31-4042-ACAE-9304C6D36CE9}"/>
            </c:ext>
          </c:extLst>
        </c:ser>
        <c:dLbls>
          <c:showLegendKey val="0"/>
          <c:showVal val="0"/>
          <c:showCatName val="0"/>
          <c:showSerName val="0"/>
          <c:showPercent val="0"/>
          <c:showBubbleSize val="0"/>
        </c:dLbls>
        <c:gapWidth val="150"/>
        <c:overlap val="100"/>
        <c:axId val="1824693951"/>
        <c:axId val="1883818719"/>
      </c:barChart>
      <c:lineChart>
        <c:grouping val="standard"/>
        <c:varyColors val="0"/>
        <c:ser>
          <c:idx val="5"/>
          <c:order val="5"/>
          <c:tx>
            <c:strRef>
              <c:f>'Main Input &amp; Output'!$BV$1</c:f>
              <c:strCache>
                <c:ptCount val="1"/>
                <c:pt idx="0">
                  <c:v>Net</c:v>
                </c:pt>
              </c:strCache>
            </c:strRef>
          </c:tx>
          <c:spPr>
            <a:ln w="28575" cap="rnd">
              <a:noFill/>
              <a:round/>
            </a:ln>
            <a:effectLst/>
          </c:spPr>
          <c:marker>
            <c:symbol val="diamond"/>
            <c:size val="7"/>
            <c:spPr>
              <a:solidFill>
                <a:schemeClr val="bg1"/>
              </a:solidFill>
              <a:ln w="9525">
                <a:solidFill>
                  <a:schemeClr val="tx1"/>
                </a:solidFill>
              </a:ln>
              <a:effectLst/>
            </c:spPr>
          </c:marker>
          <c:cat>
            <c:multiLvlStrRef>
              <c:f>'Main Input &amp; Output'!$BO$2:$BP$3</c:f>
              <c:multiLvlStrCache>
                <c:ptCount val="2"/>
                <c:lvl>
                  <c:pt idx="0">
                    <c:v>WMC</c:v>
                  </c:pt>
                  <c:pt idx="1">
                    <c:v> -</c:v>
                  </c:pt>
                </c:lvl>
                <c:lvl>
                  <c:pt idx="0">
                    <c:v>CO₂ Mineralization</c:v>
                  </c:pt>
                  <c:pt idx="1">
                    <c:v>Incumbent</c:v>
                  </c:pt>
                </c:lvl>
              </c:multiLvlStrCache>
            </c:multiLvlStrRef>
          </c:cat>
          <c:val>
            <c:numRef>
              <c:f>'Main Input &amp; Output'!$BV$2:$BV$3</c:f>
              <c:numCache>
                <c:formatCode>0.000</c:formatCode>
                <c:ptCount val="2"/>
                <c:pt idx="0">
                  <c:v>-0.13658191776142126</c:v>
                </c:pt>
                <c:pt idx="1">
                  <c:v>0.82</c:v>
                </c:pt>
              </c:numCache>
            </c:numRef>
          </c:val>
          <c:smooth val="0"/>
          <c:extLst>
            <c:ext xmlns:c16="http://schemas.microsoft.com/office/drawing/2014/chart" uri="{C3380CC4-5D6E-409C-BE32-E72D297353CC}">
              <c16:uniqueId val="{00000005-AD31-4042-ACAE-9304C6D36CE9}"/>
            </c:ext>
          </c:extLst>
        </c:ser>
        <c:dLbls>
          <c:showLegendKey val="0"/>
          <c:showVal val="0"/>
          <c:showCatName val="0"/>
          <c:showSerName val="0"/>
          <c:showPercent val="0"/>
          <c:showBubbleSize val="0"/>
        </c:dLbls>
        <c:marker val="1"/>
        <c:smooth val="0"/>
        <c:axId val="1824693951"/>
        <c:axId val="1883818719"/>
      </c:lineChart>
      <c:catAx>
        <c:axId val="1824693951"/>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1883818719"/>
        <c:crosses val="autoZero"/>
        <c:auto val="1"/>
        <c:lblAlgn val="ctr"/>
        <c:lblOffset val="100"/>
        <c:noMultiLvlLbl val="0"/>
      </c:catAx>
      <c:valAx>
        <c:axId val="1883818719"/>
        <c:scaling>
          <c:orientation val="minMax"/>
        </c:scaling>
        <c:delete val="0"/>
        <c:axPos val="l"/>
        <c:title>
          <c:tx>
            <c:rich>
              <a:bodyPr rot="-54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1600" b="1"/>
                  <a:t>Emissions (kg CO</a:t>
                </a:r>
                <a:r>
                  <a:rPr lang="en-US" sz="1600" b="1" baseline="-25000"/>
                  <a:t>2</a:t>
                </a:r>
                <a:r>
                  <a:rPr lang="en-US" sz="1600" b="1"/>
                  <a:t>eq emitted/kg Product)</a:t>
                </a:r>
              </a:p>
            </c:rich>
          </c:tx>
          <c:overlay val="0"/>
          <c:spPr>
            <a:noFill/>
            <a:ln>
              <a:noFill/>
            </a:ln>
            <a:effectLst/>
          </c:spPr>
          <c:txPr>
            <a:bodyPr rot="-54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82469395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'Summary Table'!$BG$5</c:f>
              <c:strCache>
                <c:ptCount val="1"/>
                <c:pt idx="0">
                  <c:v>Avoided Emissions</c:v>
                </c:pt>
              </c:strCache>
            </c:strRef>
          </c:tx>
          <c:spPr>
            <a:solidFill>
              <a:schemeClr val="accent1"/>
            </a:solidFill>
            <a:ln>
              <a:noFill/>
            </a:ln>
            <a:effectLst/>
          </c:spPr>
          <c:invertIfNegative val="0"/>
          <c:cat>
            <c:multiLvlStrRef>
              <c:f>'Summary Table'!$BD$6:$BF$24</c:f>
              <c:multiLvlStrCache>
                <c:ptCount val="19"/>
                <c:lvl>
                  <c:pt idx="0">
                    <c:v>CWM</c:v>
                  </c:pt>
                  <c:pt idx="1">
                    <c:v>Calcite</c:v>
                  </c:pt>
                  <c:pt idx="2">
                    <c:v>Magnesite</c:v>
                  </c:pt>
                  <c:pt idx="3">
                    <c:v>Methane</c:v>
                  </c:pt>
                  <c:pt idx="4">
                    <c:v>Methanol</c:v>
                  </c:pt>
                  <c:pt idx="5">
                    <c:v>Diesel</c:v>
                  </c:pt>
                  <c:pt idx="6">
                    <c:v>Ethanol</c:v>
                  </c:pt>
                  <c:pt idx="7">
                    <c:v>Methane</c:v>
                  </c:pt>
                  <c:pt idx="8">
                    <c:v>Methanol</c:v>
                  </c:pt>
                  <c:pt idx="9">
                    <c:v>Diesel</c:v>
                  </c:pt>
                  <c:pt idx="10">
                    <c:v>Methanol</c:v>
                  </c:pt>
                  <c:pt idx="11">
                    <c:v>Methanol</c:v>
                  </c:pt>
                  <c:pt idx="12">
                    <c:v>Methane</c:v>
                  </c:pt>
                  <c:pt idx="13">
                    <c:v>Methanol</c:v>
                  </c:pt>
                  <c:pt idx="14">
                    <c:v>Diesel</c:v>
                  </c:pt>
                  <c:pt idx="15">
                    <c:v>Methane</c:v>
                  </c:pt>
                  <c:pt idx="16">
                    <c:v>Methanol</c:v>
                  </c:pt>
                  <c:pt idx="17">
                    <c:v>Diesel</c:v>
                  </c:pt>
                  <c:pt idx="18">
                    <c:v>Diesel</c:v>
                  </c:pt>
                </c:lvl>
                <c:lvl>
                  <c:pt idx="0">
                    <c:v>WMC</c:v>
                  </c:pt>
                  <c:pt idx="1">
                    <c:v>DMC-W</c:v>
                  </c:pt>
                  <c:pt idx="2">
                    <c:v>DMC-O</c:v>
                  </c:pt>
                  <c:pt idx="3">
                    <c:v>SOEC-CO</c:v>
                  </c:pt>
                  <c:pt idx="7">
                    <c:v>SOEC-EL</c:v>
                  </c:pt>
                  <c:pt idx="10">
                    <c:v>DMR - CO</c:v>
                  </c:pt>
                  <c:pt idx="11">
                    <c:v>DMR - H2</c:v>
                  </c:pt>
                  <c:pt idx="12">
                    <c:v>D-H2</c:v>
                  </c:pt>
                  <c:pt idx="15">
                    <c:v>P.CAT</c:v>
                  </c:pt>
                  <c:pt idx="17">
                    <c:v>P-DE</c:v>
                  </c:pt>
                  <c:pt idx="18">
                    <c:v>P-WE</c:v>
                  </c:pt>
                </c:lvl>
                <c:lvl>
                  <c:pt idx="0">
                    <c:v>CO₂ Mineralization</c:v>
                  </c:pt>
                  <c:pt idx="3">
                    <c:v>CO₂ Reduction involving Electricity</c:v>
                  </c:pt>
                  <c:pt idx="10">
                    <c:v>CO₂ Reduction by Hydrocarbon</c:v>
                  </c:pt>
                  <c:pt idx="12">
                    <c:v>CO₂ Reduction by Hydrogen</c:v>
                  </c:pt>
                  <c:pt idx="15">
                    <c:v>CO₂ Reduction Involving Light</c:v>
                  </c:pt>
                  <c:pt idx="17">
                    <c:v>CO₂ Bioconversion</c:v>
                  </c:pt>
                </c:lvl>
              </c:multiLvlStrCache>
            </c:multiLvlStrRef>
          </c:cat>
          <c:val>
            <c:numRef>
              <c:f>'Summary Table'!$BG$6:$BG$24</c:f>
              <c:numCache>
                <c:formatCode>0.000</c:formatCode>
                <c:ptCount val="19"/>
                <c:pt idx="0">
                  <c:v>0.95658191776142121</c:v>
                </c:pt>
                <c:pt idx="1">
                  <c:v>1.1916795224029793</c:v>
                </c:pt>
                <c:pt idx="2">
                  <c:v>1.0032429788264186</c:v>
                </c:pt>
                <c:pt idx="3">
                  <c:v>-7.506940311245379</c:v>
                </c:pt>
                <c:pt idx="4">
                  <c:v>-2.8784187146647104</c:v>
                </c:pt>
                <c:pt idx="5">
                  <c:v>-6.6160321587354058</c:v>
                </c:pt>
                <c:pt idx="6">
                  <c:v>-4.7943907091885087</c:v>
                </c:pt>
                <c:pt idx="7">
                  <c:v>-8.4435979061820881</c:v>
                </c:pt>
                <c:pt idx="8">
                  <c:v>-3.1768025121330643</c:v>
                </c:pt>
                <c:pt idx="9">
                  <c:v>-10.467256248468175</c:v>
                </c:pt>
                <c:pt idx="10">
                  <c:v>-4.0449110224358256</c:v>
                </c:pt>
                <c:pt idx="11">
                  <c:v>-1.9808721010369039</c:v>
                </c:pt>
                <c:pt idx="12">
                  <c:v>-3.5186734617376434</c:v>
                </c:pt>
                <c:pt idx="13">
                  <c:v>-1.4441572919174819</c:v>
                </c:pt>
                <c:pt idx="14">
                  <c:v>-3.1649788929126199</c:v>
                </c:pt>
                <c:pt idx="15">
                  <c:v>1.4610426002909485</c:v>
                </c:pt>
                <c:pt idx="16">
                  <c:v>0.62671628636588905</c:v>
                </c:pt>
                <c:pt idx="17">
                  <c:v>2.5470782651230177</c:v>
                </c:pt>
                <c:pt idx="18">
                  <c:v>3.1150861070873801</c:v>
                </c:pt>
              </c:numCache>
            </c:numRef>
          </c:val>
          <c:extLst>
            <c:ext xmlns:c16="http://schemas.microsoft.com/office/drawing/2014/chart" uri="{C3380CC4-5D6E-409C-BE32-E72D297353CC}">
              <c16:uniqueId val="{00000000-0517-4748-BCBD-8E9A266CAB12}"/>
            </c:ext>
          </c:extLst>
        </c:ser>
        <c:dLbls>
          <c:showLegendKey val="0"/>
          <c:showVal val="0"/>
          <c:showCatName val="0"/>
          <c:showSerName val="0"/>
          <c:showPercent val="0"/>
          <c:showBubbleSize val="0"/>
        </c:dLbls>
        <c:gapWidth val="150"/>
        <c:overlap val="100"/>
        <c:axId val="645590864"/>
        <c:axId val="645587664"/>
      </c:barChart>
      <c:catAx>
        <c:axId val="64559086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645587664"/>
        <c:crosses val="autoZero"/>
        <c:auto val="1"/>
        <c:lblAlgn val="ctr"/>
        <c:lblOffset val="100"/>
        <c:noMultiLvlLbl val="0"/>
      </c:catAx>
      <c:valAx>
        <c:axId val="645587664"/>
        <c:scaling>
          <c:orientation val="minMax"/>
        </c:scaling>
        <c:delete val="0"/>
        <c:axPos val="l"/>
        <c:title>
          <c:tx>
            <c:rich>
              <a:bodyPr rot="-54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1600" b="1"/>
                  <a:t>Avoided Emissions (kg CO</a:t>
                </a:r>
                <a:r>
                  <a:rPr lang="en-US" sz="1600" b="1" baseline="-25000"/>
                  <a:t>2</a:t>
                </a:r>
                <a:r>
                  <a:rPr lang="en-US" sz="1600" b="1"/>
                  <a:t>eq avoided/kg Product)</a:t>
                </a:r>
              </a:p>
            </c:rich>
          </c:tx>
          <c:overlay val="0"/>
          <c:spPr>
            <a:noFill/>
            <a:ln>
              <a:noFill/>
            </a:ln>
            <a:effectLst/>
          </c:spPr>
          <c:txPr>
            <a:bodyPr rot="-54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6455908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1"/>
          <c:order val="0"/>
          <c:tx>
            <c:strRef>
              <c:f>'Summary Table'!$BP$5</c:f>
              <c:strCache>
                <c:ptCount val="1"/>
                <c:pt idx="0">
                  <c:v>Global Reduction Potential</c:v>
                </c:pt>
              </c:strCache>
            </c:strRef>
          </c:tx>
          <c:spPr>
            <a:solidFill>
              <a:schemeClr val="accent5">
                <a:lumMod val="75000"/>
              </a:schemeClr>
            </a:solidFill>
            <a:ln>
              <a:noFill/>
            </a:ln>
            <a:effectLst/>
          </c:spPr>
          <c:invertIfNegative val="0"/>
          <c:cat>
            <c:multiLvlStrRef>
              <c:f>'Summary Table'!$BL$6:$BN$24</c:f>
              <c:multiLvlStrCache>
                <c:ptCount val="19"/>
                <c:lvl>
                  <c:pt idx="0">
                    <c:v>CWM</c:v>
                  </c:pt>
                  <c:pt idx="1">
                    <c:v>Calcite</c:v>
                  </c:pt>
                  <c:pt idx="2">
                    <c:v>Magnesite</c:v>
                  </c:pt>
                  <c:pt idx="3">
                    <c:v>Methane</c:v>
                  </c:pt>
                  <c:pt idx="4">
                    <c:v>Methanol</c:v>
                  </c:pt>
                  <c:pt idx="5">
                    <c:v>Diesel</c:v>
                  </c:pt>
                  <c:pt idx="6">
                    <c:v>Ethanol</c:v>
                  </c:pt>
                  <c:pt idx="7">
                    <c:v>Methane</c:v>
                  </c:pt>
                  <c:pt idx="8">
                    <c:v>Methanol</c:v>
                  </c:pt>
                  <c:pt idx="9">
                    <c:v>Diesel</c:v>
                  </c:pt>
                  <c:pt idx="10">
                    <c:v>Methanol</c:v>
                  </c:pt>
                  <c:pt idx="11">
                    <c:v>Methanol</c:v>
                  </c:pt>
                  <c:pt idx="12">
                    <c:v>Methane</c:v>
                  </c:pt>
                  <c:pt idx="13">
                    <c:v>Methanol</c:v>
                  </c:pt>
                  <c:pt idx="14">
                    <c:v>Diesel</c:v>
                  </c:pt>
                  <c:pt idx="15">
                    <c:v>Methane</c:v>
                  </c:pt>
                  <c:pt idx="16">
                    <c:v>Methanol</c:v>
                  </c:pt>
                  <c:pt idx="17">
                    <c:v>Diesel</c:v>
                  </c:pt>
                  <c:pt idx="18">
                    <c:v>Diesel</c:v>
                  </c:pt>
                </c:lvl>
                <c:lvl>
                  <c:pt idx="0">
                    <c:v>WMC</c:v>
                  </c:pt>
                  <c:pt idx="1">
                    <c:v>DMC-W</c:v>
                  </c:pt>
                  <c:pt idx="2">
                    <c:v>DMC-O</c:v>
                  </c:pt>
                  <c:pt idx="3">
                    <c:v>SOEC-CO</c:v>
                  </c:pt>
                  <c:pt idx="7">
                    <c:v>SOEC-EL</c:v>
                  </c:pt>
                  <c:pt idx="10">
                    <c:v>DMR - CO</c:v>
                  </c:pt>
                  <c:pt idx="11">
                    <c:v>DMR - H2</c:v>
                  </c:pt>
                  <c:pt idx="12">
                    <c:v>D-H2</c:v>
                  </c:pt>
                  <c:pt idx="15">
                    <c:v>P.CAT</c:v>
                  </c:pt>
                  <c:pt idx="17">
                    <c:v>P-DE</c:v>
                  </c:pt>
                  <c:pt idx="18">
                    <c:v>P-WE</c:v>
                  </c:pt>
                </c:lvl>
                <c:lvl>
                  <c:pt idx="0">
                    <c:v>CO₂ Mineralization</c:v>
                  </c:pt>
                  <c:pt idx="3">
                    <c:v>CO₂ Reduction involving Electricity</c:v>
                  </c:pt>
                  <c:pt idx="10">
                    <c:v>CO₂ Reduction by Hydrocarbon</c:v>
                  </c:pt>
                  <c:pt idx="12">
                    <c:v>CO₂ Reduction by Hydrogen</c:v>
                  </c:pt>
                  <c:pt idx="15">
                    <c:v>CO₂ Reduction Involving Light</c:v>
                  </c:pt>
                  <c:pt idx="17">
                    <c:v>CO₂ Bioconversion</c:v>
                  </c:pt>
                </c:lvl>
              </c:multiLvlStrCache>
            </c:multiLvlStrRef>
          </c:cat>
          <c:val>
            <c:numRef>
              <c:f>'Summary Table'!$BP$6:$BP$24</c:f>
              <c:numCache>
                <c:formatCode>0.0</c:formatCode>
                <c:ptCount val="19"/>
                <c:pt idx="0">
                  <c:v>2.1044802190751266</c:v>
                </c:pt>
                <c:pt idx="1">
                  <c:v>2.6216949492865544</c:v>
                </c:pt>
                <c:pt idx="2">
                  <c:v>2.207134553418121</c:v>
                </c:pt>
                <c:pt idx="3" formatCode="General">
                  <c:v>0</c:v>
                </c:pt>
                <c:pt idx="4" formatCode="General">
                  <c:v>0</c:v>
                </c:pt>
                <c:pt idx="5" formatCode="General">
                  <c:v>0</c:v>
                </c:pt>
                <c:pt idx="6" formatCode="General">
                  <c:v>0</c:v>
                </c:pt>
                <c:pt idx="7" formatCode="General">
                  <c:v>0</c:v>
                </c:pt>
                <c:pt idx="8" formatCode="0">
                  <c:v>0</c:v>
                </c:pt>
                <c:pt idx="9" formatCode="General">
                  <c:v>0</c:v>
                </c:pt>
                <c:pt idx="10" formatCode="General">
                  <c:v>0</c:v>
                </c:pt>
                <c:pt idx="11" formatCode="General">
                  <c:v>0</c:v>
                </c:pt>
                <c:pt idx="12" formatCode="0.00">
                  <c:v>0</c:v>
                </c:pt>
                <c:pt idx="13" formatCode="0.00">
                  <c:v>0</c:v>
                </c:pt>
                <c:pt idx="14" formatCode="0.00">
                  <c:v>0</c:v>
                </c:pt>
                <c:pt idx="15" formatCode="0.00">
                  <c:v>1.9870179363956901</c:v>
                </c:pt>
                <c:pt idx="16" formatCode="0.00">
                  <c:v>2.1935070022806119E-2</c:v>
                </c:pt>
                <c:pt idx="17" formatCode="0.00">
                  <c:v>1.4645700024457351</c:v>
                </c:pt>
                <c:pt idx="18" formatCode="0.00">
                  <c:v>1.7911745115752433</c:v>
                </c:pt>
              </c:numCache>
            </c:numRef>
          </c:val>
          <c:extLst>
            <c:ext xmlns:c16="http://schemas.microsoft.com/office/drawing/2014/chart" uri="{C3380CC4-5D6E-409C-BE32-E72D297353CC}">
              <c16:uniqueId val="{00000001-DC37-4AE0-9F4A-CA6A9955D170}"/>
            </c:ext>
          </c:extLst>
        </c:ser>
        <c:dLbls>
          <c:showLegendKey val="0"/>
          <c:showVal val="0"/>
          <c:showCatName val="0"/>
          <c:showSerName val="0"/>
          <c:showPercent val="0"/>
          <c:showBubbleSize val="0"/>
        </c:dLbls>
        <c:gapWidth val="150"/>
        <c:overlap val="100"/>
        <c:axId val="661498576"/>
        <c:axId val="661499856"/>
      </c:barChart>
      <c:catAx>
        <c:axId val="661498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661499856"/>
        <c:crosses val="autoZero"/>
        <c:auto val="1"/>
        <c:lblAlgn val="ctr"/>
        <c:lblOffset val="100"/>
        <c:noMultiLvlLbl val="0"/>
      </c:catAx>
      <c:valAx>
        <c:axId val="661499856"/>
        <c:scaling>
          <c:orientation val="minMax"/>
        </c:scaling>
        <c:delete val="0"/>
        <c:axPos val="l"/>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sz="1800" b="1"/>
                  <a:t>Global Reduction Potential (Gt CO</a:t>
                </a:r>
                <a:r>
                  <a:rPr lang="en-US" sz="1800" b="1" baseline="-25000"/>
                  <a:t>2</a:t>
                </a:r>
                <a:r>
                  <a:rPr lang="en-US" sz="1800" b="1"/>
                  <a:t>eq)</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6614985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400"/>
      </a:pPr>
      <a:endParaRPr lang="en-US"/>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Style="combo" dx="31" fmlaLink="Mineralization!$I$28" fmlaRange="'Emission Factors'!$C$6:$C$8" noThreeD="1" sel="2" val="0"/>
</file>

<file path=xl/ctrlProps/ctrlProp4.xml><?xml version="1.0" encoding="utf-8"?>
<formControlPr xmlns="http://schemas.microsoft.com/office/spreadsheetml/2009/9/main" objectType="Drop" dropStyle="combo" dx="31" fmlaLink="Mineralization!$I$29" fmlaRange="'Emission Factors'!$C$34:$C$36" noThreeD="1" sel="2" val="0"/>
</file>

<file path=xl/ctrlProps/ctrlProp5.xml><?xml version="1.0" encoding="utf-8"?>
<formControlPr xmlns="http://schemas.microsoft.com/office/spreadsheetml/2009/9/main" objectType="Drop" dropStyle="combo" dx="31" fmlaLink="Mineralization!$I$46" fmlaRange="'Emission Factors'!$C$6:$C$8" noThreeD="1" sel="2" val="0"/>
</file>

<file path=xl/ctrlProps/ctrlProp6.xml><?xml version="1.0" encoding="utf-8"?>
<formControlPr xmlns="http://schemas.microsoft.com/office/spreadsheetml/2009/9/main" objectType="Drop" dropStyle="combo" dx="31" fmlaLink="Mineralization!$I$47" fmlaRange="'Emission Factors'!$C$34:$C$36" noThreeD="1" sel="2" val="0"/>
</file>

<file path=xl/ctrlProps/ctrlProp7.xml><?xml version="1.0" encoding="utf-8"?>
<formControlPr xmlns="http://schemas.microsoft.com/office/spreadsheetml/2009/9/main" objectType="Drop" dropStyle="combo" dx="31" fmlaLink="Mineralization!$I$30" fmlaRange="'Emission Factors'!$C$20:$C$22" noThreeD="1" sel="2" val="0"/>
</file>

<file path=xl/ctrlProps/ctrlProp8.xml><?xml version="1.0" encoding="utf-8"?>
<formControlPr xmlns="http://schemas.microsoft.com/office/spreadsheetml/2009/9/main" objectType="Drop" dropStyle="combo" dx="31" fmlaLink="Mineralization!$I$63" fmlaRange="'Emission Factors'!$C$34:$C$36" noThreeD="1" sel="2" val="0"/>
</file>

<file path=xl/ctrlProps/ctrlProp9.xml><?xml version="1.0" encoding="utf-8"?>
<formControlPr xmlns="http://schemas.microsoft.com/office/spreadsheetml/2009/9/main" objectType="Drop" dropStyle="combo" dx="15" fmlaLink="'Summary Table'!$BV$15" fmlaRange="'Summary Table'!$BV$6:$BV$12" noThreeD="1" sel="1" val="0"/>
</file>

<file path=xl/ctrlProps/ctrlProp10.xml><?xml version="1.0" encoding="utf-8"?>
<formControlPr xmlns="http://schemas.microsoft.com/office/spreadsheetml/2009/9/main" objectType="Drop" dropStyle="combo" dx="31" fmlaLink="Bioconversion!$I$28" fmlaRange="'Emission Factors'!$C$6:$C$8" noThreeD="1" sel="2" val="0"/>
</file>

<file path=xl/ctrlProps/ctrlProp11.xml><?xml version="1.0" encoding="utf-8"?>
<formControlPr xmlns="http://schemas.microsoft.com/office/spreadsheetml/2009/9/main" objectType="Drop" dropStyle="combo" dx="31" fmlaLink="Bioconversion!$I$29" fmlaRange="'Emission Factors'!$C$34:$C$36" noThreeD="1" sel="2" val="0"/>
</file>

<file path=xl/ctrlProps/ctrlProp12.xml><?xml version="1.0" encoding="utf-8"?>
<formControlPr xmlns="http://schemas.microsoft.com/office/spreadsheetml/2009/9/main" objectType="Drop" dropStyle="combo" dx="31" fmlaLink="Bioconversion!$I$46" fmlaRange="'Emission Factors'!$C$6:$C$8" noThreeD="1" sel="2" val="0"/>
</file>

<file path=xl/ctrlProps/ctrlProp13.xml><?xml version="1.0" encoding="utf-8"?>
<formControlPr xmlns="http://schemas.microsoft.com/office/spreadsheetml/2009/9/main" objectType="Drop" dropStyle="combo" dx="31" fmlaLink="Bioconversion!$I$48" fmlaRange="'Emission Factors'!$C$34:$C$36" noThreeD="1" sel="2" val="0"/>
</file>

<file path=xl/ctrlProps/ctrlProp14.xml><?xml version="1.0" encoding="utf-8"?>
<formControlPr xmlns="http://schemas.microsoft.com/office/spreadsheetml/2009/9/main" objectType="Drop" dropStyle="combo" dx="31" fmlaLink="Bioconversion!$I$47" fmlaRange="'Emission Factors'!$C$20:$C$22" noThreeD="1" sel="2" val="0"/>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Drop" dropStyle="combo" dx="31" fmlaLink="'Involving Electricity'!$I$43" fmlaRange="'Emission Factors'!$C$6:$C$8" noThreeD="1" sel="2" val="0"/>
</file>

<file path=xl/ctrlProps/ctrlProp17.xml><?xml version="1.0" encoding="utf-8"?>
<formControlPr xmlns="http://schemas.microsoft.com/office/spreadsheetml/2009/9/main" objectType="Drop" dropStyle="combo" dx="31" fmlaLink="'Involving Electricity'!$I$44" fmlaRange="'Emission Factors'!$C$34:$C$36" noThreeD="1" sel="2" val="0"/>
</file>

<file path=xl/ctrlProps/ctrlProp18.xml><?xml version="1.0" encoding="utf-8"?>
<formControlPr xmlns="http://schemas.microsoft.com/office/spreadsheetml/2009/9/main" objectType="Drop" dropStyle="combo" dx="31" fmlaLink="'Involving Electricity'!$I$61" fmlaRange="'Emission Factors'!$C$6:$C$8" noThreeD="1" sel="2" val="0"/>
</file>

<file path=xl/ctrlProps/ctrlProp19.xml><?xml version="1.0" encoding="utf-8"?>
<formControlPr xmlns="http://schemas.microsoft.com/office/spreadsheetml/2009/9/main" objectType="Drop" dropStyle="combo" dx="31" fmlaLink="'Involving Electricity'!$I$62" fmlaRange="'Emission Factors'!$C$34:$C$36" noThreeD="1" sel="2" val="0"/>
</file>

<file path=xl/ctrlProps/ctrlProp20.xml><?xml version="1.0" encoding="utf-8"?>
<formControlPr xmlns="http://schemas.microsoft.com/office/spreadsheetml/2009/9/main" objectType="Drop" dropStyle="combo" dx="31" fmlaLink="'Involving Electricity'!$I$80" fmlaRange="'Emission Factors'!$C$6:$C$8" noThreeD="1" sel="2" val="0"/>
</file>

<file path=xl/ctrlProps/ctrlProp21.xml><?xml version="1.0" encoding="utf-8"?>
<formControlPr xmlns="http://schemas.microsoft.com/office/spreadsheetml/2009/9/main" objectType="Drop" dropStyle="combo" dx="31" fmlaLink="'Involving Electricity'!$I$81" fmlaRange="'Emission Factors'!$C$34:$C$36" noThreeD="1" sel="2" val="0"/>
</file>

<file path=xl/ctrlProps/ctrlProp22.xml><?xml version="1.0" encoding="utf-8"?>
<formControlPr xmlns="http://schemas.microsoft.com/office/spreadsheetml/2009/9/main" objectType="Drop" dropStyle="combo" dx="31" fmlaLink="'Involving Electricity'!$I$241" fmlaRange="'Emission Factors'!$C$6:$C$8" noThreeD="1" sel="2" val="0"/>
</file>

<file path=xl/ctrlProps/ctrlProp23.xml><?xml version="1.0" encoding="utf-8"?>
<formControlPr xmlns="http://schemas.microsoft.com/office/spreadsheetml/2009/9/main" objectType="Drop" dropStyle="combo" dx="31" fmlaLink="'Involving Electricity'!$I$242" fmlaRange="'Emission Factors'!$C$34:$C$36" noThreeD="1" sel="2" val="0"/>
</file>

<file path=xl/ctrlProps/ctrlProp24.xml><?xml version="1.0" encoding="utf-8"?>
<formControlPr xmlns="http://schemas.microsoft.com/office/spreadsheetml/2009/9/main" objectType="Drop" dropStyle="combo" dx="31" fmlaLink="'Involving Electricity'!$I$117" fmlaRange="'Emission Factors'!$C$6:$C$8" noThreeD="1" sel="2" val="0"/>
</file>

<file path=xl/ctrlProps/ctrlProp25.xml><?xml version="1.0" encoding="utf-8"?>
<formControlPr xmlns="http://schemas.microsoft.com/office/spreadsheetml/2009/9/main" objectType="Drop" dropStyle="combo" dx="31" fmlaLink="'Involving Electricity'!$I$118" fmlaRange="'Emission Factors'!$C$34:$C$36" noThreeD="1" sel="2" val="0"/>
</file>

<file path=xl/ctrlProps/ctrlProp26.xml><?xml version="1.0" encoding="utf-8"?>
<formControlPr xmlns="http://schemas.microsoft.com/office/spreadsheetml/2009/9/main" objectType="Drop" dropStyle="combo" dx="31" fmlaLink="'Involving Electricity'!$I$132" fmlaRange="'Emission Factors'!$C$6:$C$8" noThreeD="1" sel="2" val="0"/>
</file>

<file path=xl/ctrlProps/ctrlProp27.xml><?xml version="1.0" encoding="utf-8"?>
<formControlPr xmlns="http://schemas.microsoft.com/office/spreadsheetml/2009/9/main" objectType="Drop" dropStyle="combo" dx="31" fmlaLink="'Involving Electricity'!$I$133" fmlaRange="'Emission Factors'!$C$34:$C$36" noThreeD="1" sel="2" val="0"/>
</file>

<file path=xl/ctrlProps/ctrlProp28.xml><?xml version="1.0" encoding="utf-8"?>
<formControlPr xmlns="http://schemas.microsoft.com/office/spreadsheetml/2009/9/main" objectType="Drop" dropStyle="combo" dx="31" fmlaLink="'Involving Electricity'!$I$147" fmlaRange="'Emission Factors'!$C$6:$C$8" noThreeD="1" sel="2" val="0"/>
</file>

<file path=xl/ctrlProps/ctrlProp29.xml><?xml version="1.0" encoding="utf-8"?>
<formControlPr xmlns="http://schemas.microsoft.com/office/spreadsheetml/2009/9/main" objectType="Drop" dropStyle="combo" dx="31" fmlaLink="'Involving Electricity'!$I$148" fmlaRange="'Emission Factors'!$C$34:$C$36" noThreeD="1" sel="2" val="0"/>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Drop" dropStyle="combo" dx="31" fmlaLink="'Involving Electricity'!$I$45" fmlaRange="'Emission Factors'!$C$20:$C$22" noThreeD="1" sel="2" val="0"/>
</file>

<file path=xl/ctrlProps/ctrlProp32.xml><?xml version="1.0" encoding="utf-8"?>
<formControlPr xmlns="http://schemas.microsoft.com/office/spreadsheetml/2009/9/main" objectType="Drop" dropStyle="combo" dx="31" fmlaLink="'Involving Electricity'!$I$63" fmlaRange="'Emission Factors'!$C$20:$C$22" noThreeD="1" sel="2" val="0"/>
</file>

<file path=xl/ctrlProps/ctrlProp33.xml><?xml version="1.0" encoding="utf-8"?>
<formControlPr xmlns="http://schemas.microsoft.com/office/spreadsheetml/2009/9/main" objectType="Drop" dropStyle="combo" dx="31" fmlaLink="'Involving Electricity'!$I$102" fmlaRange="'Emission Factors'!$C$20:$C$22" noThreeD="1" sel="2" val="0"/>
</file>

<file path=xl/ctrlProps/ctrlProp34.xml><?xml version="1.0" encoding="utf-8"?>
<formControlPr xmlns="http://schemas.microsoft.com/office/spreadsheetml/2009/9/main" objectType="Drop" dropStyle="combo" dx="31" fmlaLink="'Reduction by Hydrocarbon'!$I$28" fmlaRange="'Emission Factors'!$C$6:$C$8" noThreeD="1" sel="2" val="0"/>
</file>

<file path=xl/ctrlProps/ctrlProp35.xml><?xml version="1.0" encoding="utf-8"?>
<formControlPr xmlns="http://schemas.microsoft.com/office/spreadsheetml/2009/9/main" objectType="Drop" dropStyle="combo" dx="31" fmlaLink="'Reduction by Hydrocarbon'!$I$29" fmlaRange="'Emission Factors'!$C$34:$C$36" noThreeD="1" sel="2" val="0"/>
</file>

<file path=xl/ctrlProps/ctrlProp36.xml><?xml version="1.0" encoding="utf-8"?>
<formControlPr xmlns="http://schemas.microsoft.com/office/spreadsheetml/2009/9/main" objectType="Drop" dropStyle="combo" dx="31" fmlaLink="'Reduction by Hydrocarbon'!$I$30" fmlaRange="'Emission Factors'!$C$20:$C$22" noThreeD="1" sel="2" val="0"/>
</file>

<file path=xl/ctrlProps/ctrlProp37.xml><?xml version="1.0" encoding="utf-8"?>
<formControlPr xmlns="http://schemas.microsoft.com/office/spreadsheetml/2009/9/main" objectType="Drop" dropStyle="combo" dx="31" fmlaLink="'Reduction by Hydrocarbon'!$I$48" fmlaRange="'Emission Factors'!$C$6:$C$8" noThreeD="1" sel="2" val="0"/>
</file>

<file path=xl/ctrlProps/ctrlProp38.xml><?xml version="1.0" encoding="utf-8"?>
<formControlPr xmlns="http://schemas.microsoft.com/office/spreadsheetml/2009/9/main" objectType="Drop" dropStyle="combo" dx="31" fmlaLink="'Reduction by Hydrocarbon'!$I$49" fmlaRange="'Emission Factors'!$C$34:$C$36" noThreeD="1" sel="2" val="0"/>
</file>

<file path=xl/ctrlProps/ctrlProp39.xml><?xml version="1.0" encoding="utf-8"?>
<formControlPr xmlns="http://schemas.microsoft.com/office/spreadsheetml/2009/9/main" objectType="Drop" dropStyle="combo" dx="31" fmlaLink="'Reduction by Hydrocarbon'!$I$50" fmlaRange="'Emission Factors'!$C$20:$C$22" noThreeD="1" sel="2" val="0"/>
</file>

<file path=xl/ctrlProps/ctrlProp40.xml><?xml version="1.0" encoding="utf-8"?>
<formControlPr xmlns="http://schemas.microsoft.com/office/spreadsheetml/2009/9/main" objectType="Drop" dropStyle="combo" dx="31" fmlaLink="'Reduction by Hydrocarbon'!$I$51" fmlaRange="'Emission Factors'!$C$27:$C$29" noThreeD="1" sel="2" val="0"/>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31" fmlaLink="'Involving Light'!$I$51" fmlaRange="'Emission Factors'!$C$6:$C$8" noThreeD="1" sel="2" val="0"/>
</file>

<file path=xl/ctrlProps/ctrlProp43.xml><?xml version="1.0" encoding="utf-8"?>
<formControlPr xmlns="http://schemas.microsoft.com/office/spreadsheetml/2009/9/main" objectType="Drop" dropStyle="combo" dx="31" fmlaLink="'Involving Light'!$I$52" fmlaRange="'Emission Factors'!$C$34:$C$36" noThreeD="1" sel="2" val="0"/>
</file>

<file path=xl/ctrlProps/ctrlProp44.xml><?xml version="1.0" encoding="utf-8"?>
<formControlPr xmlns="http://schemas.microsoft.com/office/spreadsheetml/2009/9/main" objectType="Drop" dropStyle="combo" dx="31" fmlaLink="'Involving Light'!$I$31" fmlaRange="'Emission Factors'!$C$6:$C$8" noThreeD="1" sel="2" val="0"/>
</file>

<file path=xl/ctrlProps/ctrlProp45.xml><?xml version="1.0" encoding="utf-8"?>
<formControlPr xmlns="http://schemas.microsoft.com/office/spreadsheetml/2009/9/main" objectType="Drop" dropStyle="combo" dx="31" fmlaLink="'Involving Light'!$I$32" fmlaRange="'Emission Factors'!$C$34:$C$36" noThreeD="1" sel="2" val="0"/>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Drop" dropStyle="combo" dx="31" fmlaLink="'Reduction by Hydrogen'!$I$29" fmlaRange="'Emission Factors'!$C$27:$C$29" noThreeD="1" sel="2" val="0"/>
</file>

<file path=xl/ctrlProps/ctrlProp48.xml><?xml version="1.0" encoding="utf-8"?>
<formControlPr xmlns="http://schemas.microsoft.com/office/spreadsheetml/2009/9/main" objectType="Drop" dropStyle="combo" dx="31" fmlaLink="'Reduction by Hydrogen'!$I$28" fmlaRange="'Emission Factors'!$C$34:$C$36" noThreeD="1" sel="2" val="0"/>
</file>

<file path=xl/ctrlProps/ctrlProp49.xml><?xml version="1.0" encoding="utf-8"?>
<formControlPr xmlns="http://schemas.microsoft.com/office/spreadsheetml/2009/9/main" objectType="Drop" dropStyle="combo" dx="31" fmlaLink="'Reduction by Hydrogen'!$I$47" fmlaRange="'Emission Factors'!$C$27:$C$29" noThreeD="1" sel="2" val="0"/>
</file>

<file path=xl/ctrlProps/ctrlProp50.xml><?xml version="1.0" encoding="utf-8"?>
<formControlPr xmlns="http://schemas.microsoft.com/office/spreadsheetml/2009/9/main" objectType="Drop" dropStyle="combo" dx="31" fmlaLink="'Reduction by Hydrogen'!$I$46" fmlaRange="'Emission Factors'!$C$34:$C$36" noThreeD="1" sel="2" val="0"/>
</file>

<file path=xl/ctrlProps/ctrlProp51.xml><?xml version="1.0" encoding="utf-8"?>
<formControlPr xmlns="http://schemas.microsoft.com/office/spreadsheetml/2009/9/main" objectType="Drop" dropStyle="combo" dx="31" fmlaLink="'Reduction by Hydrogen'!$I$45" fmlaRange="'Emission Factors'!$C$6:$C$8" noThreeD="1" sel="2" val="0"/>
</file>

<file path=xl/ctrlProps/ctrlProp52.xml><?xml version="1.0" encoding="utf-8"?>
<formControlPr xmlns="http://schemas.microsoft.com/office/spreadsheetml/2009/9/main" objectType="Drop" dropStyle="combo" dx="31" fmlaLink="'Reduction by Hydrogen'!$I$68" fmlaRange="'Emission Factors'!$C$27:$C$29" noThreeD="1" sel="2" val="0"/>
</file>

<file path=xl/ctrlProps/ctrlProp53.xml><?xml version="1.0" encoding="utf-8"?>
<formControlPr xmlns="http://schemas.microsoft.com/office/spreadsheetml/2009/9/main" objectType="Drop" dropStyle="combo" dx="31" fmlaLink="'Reduction by Hydrogen'!$I$67" fmlaRange="'Emission Factors'!$C$34:$C$36" noThreeD="1" sel="2" val="0"/>
</file>

<file path=xl/ctrlProps/ctrlProp54.xml><?xml version="1.0" encoding="utf-8"?>
<formControlPr xmlns="http://schemas.microsoft.com/office/spreadsheetml/2009/9/main" objectType="Drop" dropStyle="combo" dx="31" fmlaLink="'Reduction by Hydrogen'!$I$66" fmlaRange="'Emission Factors'!$C$6:$C$8" noThreeD="1" sel="2" val="0"/>
</file>

<file path=xl/ctrlProps/ctrlProp55.xml><?xml version="1.0" encoding="utf-8"?>
<formControlPr xmlns="http://schemas.microsoft.com/office/spreadsheetml/2009/9/main" objectType="Drop" dropStyle="combo" dx="31" fmlaLink="'Reduction by Hydrogen'!$I$69" fmlaRange="'Emission Factors'!$C$20:$C$22" noThreeD="1" sel="2" val="0"/>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Drop" dropStyle="combo" dx="31" fmlaLink="Mineralization!$I$62" fmlaRange="'Emission Factors'!$C$6:$C$8" noThreeD="1" sel="2" val="0"/>
</file>

<file path=xl/ctrlProps/ctrlProp63.xml><?xml version="1.0" encoding="utf-8"?>
<formControlPr xmlns="http://schemas.microsoft.com/office/spreadsheetml/2009/9/main" objectType="Drop" dropLines="5" dropStyle="combo" dx="22" fmlaLink="'Emission Factors'!$G$9" fmlaRange="'Emission Factors'!$C$6:$C$8" noThreeD="1" sel="2" val="0"/>
</file>

<file path=xl/ctrlProps/ctrlProp64.xml><?xml version="1.0" encoding="utf-8"?>
<formControlPr xmlns="http://schemas.microsoft.com/office/spreadsheetml/2009/9/main" objectType="Drop" dropLines="5" dropStyle="combo" dx="22" fmlaLink="'Emission Factors'!$G$23" fmlaRange="'Emission Factors'!$C$20:$C$22" noThreeD="1" sel="2" val="0"/>
</file>

<file path=xl/ctrlProps/ctrlProp65.xml><?xml version="1.0" encoding="utf-8"?>
<formControlPr xmlns="http://schemas.microsoft.com/office/spreadsheetml/2009/9/main" objectType="Drop" dropLines="5" dropStyle="combo" dx="22" fmlaLink="'Emission Factors'!$G$16" fmlaRange="'Emission Factors'!$C$14:$C$15" noThreeD="1" sel="2" val="0"/>
</file>

<file path=xl/ctrlProps/ctrlProp66.xml><?xml version="1.0" encoding="utf-8"?>
<formControlPr xmlns="http://schemas.microsoft.com/office/spreadsheetml/2009/9/main" objectType="Drop" dropLines="5" dropStyle="combo" dx="22" fmlaLink="'Emission Factors'!$G$30" fmlaRange="'Emission Factors'!$C$27:$C$29" noThreeD="1" sel="2" val="0"/>
</file>

<file path=xl/ctrlProps/ctrlProp67.xml><?xml version="1.0" encoding="utf-8"?>
<formControlPr xmlns="http://schemas.microsoft.com/office/spreadsheetml/2009/9/main" objectType="Drop" dropLines="5" dropStyle="combo" dx="22" fmlaLink="'Emission Factors'!$G$37" fmlaRange="'Emission Factors'!$C$34:$C$36" noThreeD="1" sel="2" val="0"/>
</file>

<file path=xl/ctrlProps/ctrlProp68.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105</xdr:row>
      <xdr:rowOff>0</xdr:rowOff>
    </xdr:from>
    <xdr:to>
      <xdr:col>11</xdr:col>
      <xdr:colOff>708050</xdr:colOff>
      <xdr:row>136</xdr:row>
      <xdr:rowOff>15882</xdr:rowOff>
    </xdr:to>
    <xdr:pic>
      <xdr:nvPicPr>
        <xdr:cNvPr id="5" name="Picture 4">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46250" y="27057350"/>
          <a:ext cx="6924700" cy="57245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12</xdr:col>
      <xdr:colOff>25552</xdr:colOff>
      <xdr:row>4</xdr:row>
      <xdr:rowOff>44452</xdr:rowOff>
    </xdr:from>
    <xdr:to>
      <xdr:col>38</xdr:col>
      <xdr:colOff>570852</xdr:colOff>
      <xdr:row>38</xdr:row>
      <xdr:rowOff>61620</xdr:rowOff>
    </xdr:to>
    <xdr:graphicFrame macro="">
      <xdr:nvGraphicFramePr>
        <xdr:cNvPr id="2" name="Chart_kgCO2e_per_kgCO2Converted">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25394</xdr:colOff>
      <xdr:row>42</xdr:row>
      <xdr:rowOff>173034</xdr:rowOff>
    </xdr:from>
    <xdr:to>
      <xdr:col>38</xdr:col>
      <xdr:colOff>570694</xdr:colOff>
      <xdr:row>65</xdr:row>
      <xdr:rowOff>120134</xdr:rowOff>
    </xdr:to>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333376</xdr:colOff>
      <xdr:row>2</xdr:row>
      <xdr:rowOff>79376</xdr:rowOff>
    </xdr:from>
    <xdr:to>
      <xdr:col>11</xdr:col>
      <xdr:colOff>384175</xdr:colOff>
      <xdr:row>4</xdr:row>
      <xdr:rowOff>95250</xdr:rowOff>
    </xdr:to>
    <xdr:sp macro="" textlink="">
      <xdr:nvSpPr>
        <xdr:cNvPr id="14" name="Arrow: Right 13">
          <a:extLst>
            <a:ext uri="{FF2B5EF4-FFF2-40B4-BE49-F238E27FC236}">
              <a16:creationId xmlns:a16="http://schemas.microsoft.com/office/drawing/2014/main" id="{00000000-0008-0000-0300-00000E000000}"/>
            </a:ext>
          </a:extLst>
        </xdr:cNvPr>
        <xdr:cNvSpPr/>
      </xdr:nvSpPr>
      <xdr:spPr>
        <a:xfrm>
          <a:off x="2024064" y="595314"/>
          <a:ext cx="5678486" cy="515936"/>
        </a:xfrm>
        <a:prstGeom prst="rightArrow">
          <a:avLst/>
        </a:prstGeom>
        <a:solidFill>
          <a:srgbClr val="C0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400" b="1"/>
            <a:t>Visualize the results instantaneously</a:t>
          </a:r>
          <a:r>
            <a:rPr lang="en-CA" sz="1400" b="1" baseline="0"/>
            <a:t> updated </a:t>
          </a:r>
          <a:r>
            <a:rPr lang="en-CA" sz="1400" b="1"/>
            <a:t>in the Results D</a:t>
          </a:r>
          <a:r>
            <a:rPr lang="en-CA" sz="1400" b="1" baseline="0"/>
            <a:t>ashboard</a:t>
          </a:r>
          <a:endParaRPr lang="en-CA" sz="1400" b="1"/>
        </a:p>
      </xdr:txBody>
    </xdr:sp>
    <xdr:clientData/>
  </xdr:twoCellAnchor>
  <mc:AlternateContent xmlns:mc="http://schemas.openxmlformats.org/markup-compatibility/2006">
    <mc:Choice xmlns:a14="http://schemas.microsoft.com/office/drawing/2010/main" Requires="a14">
      <xdr:twoCellAnchor>
        <xdr:from>
          <xdr:col>8</xdr:col>
          <xdr:colOff>349250</xdr:colOff>
          <xdr:row>6</xdr:row>
          <xdr:rowOff>76200</xdr:rowOff>
        </xdr:from>
        <xdr:to>
          <xdr:col>10</xdr:col>
          <xdr:colOff>222250</xdr:colOff>
          <xdr:row>7</xdr:row>
          <xdr:rowOff>165100</xdr:rowOff>
        </xdr:to>
        <xdr:sp macro="" textlink="">
          <xdr:nvSpPr>
            <xdr:cNvPr id="3175" name="Btn_Reset_All" hidden="1">
              <a:extLst>
                <a:ext uri="{63B3BB69-23CF-44E3-9099-C40C66FF867C}">
                  <a14:compatExt spid="_x0000_s3175"/>
                </a:ext>
                <a:ext uri="{FF2B5EF4-FFF2-40B4-BE49-F238E27FC236}">
                  <a16:creationId xmlns:a16="http://schemas.microsoft.com/office/drawing/2014/main" id="{00000000-0008-0000-0300-000067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400" b="1" i="0" u="none" strike="noStrike" baseline="0">
                  <a:solidFill>
                    <a:srgbClr val="000000"/>
                  </a:solidFill>
                  <a:latin typeface="Calibri"/>
                  <a:cs typeface="Calibri"/>
                </a:rPr>
                <a:t>Reset all pathways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33</xdr:row>
          <xdr:rowOff>25400</xdr:rowOff>
        </xdr:from>
        <xdr:to>
          <xdr:col>10</xdr:col>
          <xdr:colOff>50800</xdr:colOff>
          <xdr:row>34</xdr:row>
          <xdr:rowOff>158750</xdr:rowOff>
        </xdr:to>
        <xdr:sp macro="" textlink="">
          <xdr:nvSpPr>
            <xdr:cNvPr id="3181" name="Btn_Mineralization_Reset" hidden="1">
              <a:extLst>
                <a:ext uri="{63B3BB69-23CF-44E3-9099-C40C66FF867C}">
                  <a14:compatExt spid="_x0000_s3181"/>
                </a:ext>
                <a:ext uri="{FF2B5EF4-FFF2-40B4-BE49-F238E27FC236}">
                  <a16:creationId xmlns:a16="http://schemas.microsoft.com/office/drawing/2014/main" id="{00000000-0008-0000-0300-00006D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400" b="1" i="0" u="none" strike="noStrike" baseline="0">
                  <a:solidFill>
                    <a:srgbClr val="000000"/>
                  </a:solidFill>
                  <a:latin typeface="Calibri"/>
                  <a:cs typeface="Calibri"/>
                </a:rPr>
                <a:t>Reset Pathway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38</xdr:row>
          <xdr:rowOff>12700</xdr:rowOff>
        </xdr:from>
        <xdr:to>
          <xdr:col>9</xdr:col>
          <xdr:colOff>698500</xdr:colOff>
          <xdr:row>38</xdr:row>
          <xdr:rowOff>266700</xdr:rowOff>
        </xdr:to>
        <xdr:sp macro="" textlink="">
          <xdr:nvSpPr>
            <xdr:cNvPr id="3182" name="Electricity_DMC-W_Calcite" hidden="1">
              <a:extLst>
                <a:ext uri="{63B3BB69-23CF-44E3-9099-C40C66FF867C}">
                  <a14:compatExt spid="_x0000_s3182"/>
                </a:ext>
                <a:ext uri="{FF2B5EF4-FFF2-40B4-BE49-F238E27FC236}">
                  <a16:creationId xmlns:a16="http://schemas.microsoft.com/office/drawing/2014/main" id="{00000000-0008-0000-0300-00006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40</xdr:row>
          <xdr:rowOff>25400</xdr:rowOff>
        </xdr:from>
        <xdr:to>
          <xdr:col>9</xdr:col>
          <xdr:colOff>698500</xdr:colOff>
          <xdr:row>40</xdr:row>
          <xdr:rowOff>279400</xdr:rowOff>
        </xdr:to>
        <xdr:sp macro="" textlink="">
          <xdr:nvSpPr>
            <xdr:cNvPr id="3184" name="CO2_Capture_DMC-W_Calcite" hidden="1">
              <a:extLst>
                <a:ext uri="{63B3BB69-23CF-44E3-9099-C40C66FF867C}">
                  <a14:compatExt spid="_x0000_s3184"/>
                </a:ext>
                <a:ext uri="{FF2B5EF4-FFF2-40B4-BE49-F238E27FC236}">
                  <a16:creationId xmlns:a16="http://schemas.microsoft.com/office/drawing/2014/main" id="{00000000-0008-0000-0300-00007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45</xdr:row>
          <xdr:rowOff>12700</xdr:rowOff>
        </xdr:from>
        <xdr:to>
          <xdr:col>9</xdr:col>
          <xdr:colOff>711200</xdr:colOff>
          <xdr:row>45</xdr:row>
          <xdr:rowOff>266700</xdr:rowOff>
        </xdr:to>
        <xdr:sp macro="" textlink="">
          <xdr:nvSpPr>
            <xdr:cNvPr id="3193" name="Electricity_WMC_CWM" hidden="1">
              <a:extLst>
                <a:ext uri="{63B3BB69-23CF-44E3-9099-C40C66FF867C}">
                  <a14:compatExt spid="_x0000_s3193"/>
                </a:ext>
                <a:ext uri="{FF2B5EF4-FFF2-40B4-BE49-F238E27FC236}">
                  <a16:creationId xmlns:a16="http://schemas.microsoft.com/office/drawing/2014/main" id="{00000000-0008-0000-0300-00007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46</xdr:row>
          <xdr:rowOff>25400</xdr:rowOff>
        </xdr:from>
        <xdr:to>
          <xdr:col>9</xdr:col>
          <xdr:colOff>711200</xdr:colOff>
          <xdr:row>46</xdr:row>
          <xdr:rowOff>279400</xdr:rowOff>
        </xdr:to>
        <xdr:sp macro="" textlink="">
          <xdr:nvSpPr>
            <xdr:cNvPr id="3195" name="CO2_Capture_WMC_CWM" hidden="1">
              <a:extLst>
                <a:ext uri="{63B3BB69-23CF-44E3-9099-C40C66FF867C}">
                  <a14:compatExt spid="_x0000_s3195"/>
                </a:ext>
                <a:ext uri="{FF2B5EF4-FFF2-40B4-BE49-F238E27FC236}">
                  <a16:creationId xmlns:a16="http://schemas.microsoft.com/office/drawing/2014/main" id="{00000000-0008-0000-0300-00007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39</xdr:row>
          <xdr:rowOff>25400</xdr:rowOff>
        </xdr:from>
        <xdr:to>
          <xdr:col>9</xdr:col>
          <xdr:colOff>698500</xdr:colOff>
          <xdr:row>39</xdr:row>
          <xdr:rowOff>266700</xdr:rowOff>
        </xdr:to>
        <xdr:sp macro="" textlink="">
          <xdr:nvSpPr>
            <xdr:cNvPr id="3196" name="Heat_DMC-W_Calcite" hidden="1">
              <a:extLst>
                <a:ext uri="{63B3BB69-23CF-44E3-9099-C40C66FF867C}">
                  <a14:compatExt spid="_x0000_s3196"/>
                </a:ext>
                <a:ext uri="{FF2B5EF4-FFF2-40B4-BE49-F238E27FC236}">
                  <a16:creationId xmlns:a16="http://schemas.microsoft.com/office/drawing/2014/main" id="{00000000-0008-0000-0300-00007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52</xdr:row>
          <xdr:rowOff>25400</xdr:rowOff>
        </xdr:from>
        <xdr:to>
          <xdr:col>9</xdr:col>
          <xdr:colOff>711200</xdr:colOff>
          <xdr:row>52</xdr:row>
          <xdr:rowOff>279400</xdr:rowOff>
        </xdr:to>
        <xdr:sp macro="" textlink="">
          <xdr:nvSpPr>
            <xdr:cNvPr id="3198" name="CO2_Capture_DMC-O_Magnesite" hidden="1">
              <a:extLst>
                <a:ext uri="{63B3BB69-23CF-44E3-9099-C40C66FF867C}">
                  <a14:compatExt spid="_x0000_s3198"/>
                </a:ext>
                <a:ext uri="{FF2B5EF4-FFF2-40B4-BE49-F238E27FC236}">
                  <a16:creationId xmlns:a16="http://schemas.microsoft.com/office/drawing/2014/main" id="{00000000-0008-0000-0300-00007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15871</xdr:colOff>
      <xdr:row>4</xdr:row>
      <xdr:rowOff>15874</xdr:rowOff>
    </xdr:from>
    <xdr:to>
      <xdr:col>10</xdr:col>
      <xdr:colOff>368412</xdr:colOff>
      <xdr:row>5</xdr:row>
      <xdr:rowOff>274374</xdr:rowOff>
    </xdr:to>
    <xdr:sp macro="" textlink="">
      <xdr:nvSpPr>
        <xdr:cNvPr id="55" name="TextBox 54">
          <a:extLst>
            <a:ext uri="{FF2B5EF4-FFF2-40B4-BE49-F238E27FC236}">
              <a16:creationId xmlns:a16="http://schemas.microsoft.com/office/drawing/2014/main" id="{00000000-0008-0000-0300-000037000000}"/>
            </a:ext>
          </a:extLst>
        </xdr:cNvPr>
        <xdr:cNvSpPr txBox="1"/>
      </xdr:nvSpPr>
      <xdr:spPr>
        <a:xfrm>
          <a:off x="166684" y="1031874"/>
          <a:ext cx="7123228" cy="576000"/>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400"/>
            <a:t>The Results Dashboard are prepopulated with default values and updated in real time. </a:t>
          </a:r>
        </a:p>
        <a:p>
          <a:r>
            <a:rPr lang="en-CA" sz="1400"/>
            <a:t>Results are based on the general assumptions below. </a:t>
          </a:r>
        </a:p>
      </xdr:txBody>
    </xdr:sp>
    <xdr:clientData/>
  </xdr:twoCellAnchor>
  <xdr:twoCellAnchor>
    <xdr:from>
      <xdr:col>1</xdr:col>
      <xdr:colOff>91724</xdr:colOff>
      <xdr:row>24</xdr:row>
      <xdr:rowOff>166687</xdr:rowOff>
    </xdr:from>
    <xdr:to>
      <xdr:col>10</xdr:col>
      <xdr:colOff>315244</xdr:colOff>
      <xdr:row>31</xdr:row>
      <xdr:rowOff>189088</xdr:rowOff>
    </xdr:to>
    <xdr:sp macro="" textlink="">
      <xdr:nvSpPr>
        <xdr:cNvPr id="58" name="TextBox 57">
          <a:extLst>
            <a:ext uri="{FF2B5EF4-FFF2-40B4-BE49-F238E27FC236}">
              <a16:creationId xmlns:a16="http://schemas.microsoft.com/office/drawing/2014/main" id="{00000000-0008-0000-0300-00003A000000}"/>
            </a:ext>
          </a:extLst>
        </xdr:cNvPr>
        <xdr:cNvSpPr txBox="1"/>
      </xdr:nvSpPr>
      <xdr:spPr>
        <a:xfrm>
          <a:off x="242537" y="5953125"/>
          <a:ext cx="6994207" cy="1467026"/>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400"/>
            <a:t>In each CCU pathway box, it is possible to change assumptions for a specific product within that pathway.  The current values of relevant inputs related to the product are shown in green cells and can be changed. Changing the input values or the intensity (Emission Factors) will automatically update the</a:t>
          </a:r>
          <a:r>
            <a:rPr lang="en-CA" sz="1400" baseline="0"/>
            <a:t> figures</a:t>
          </a:r>
          <a:r>
            <a:rPr lang="en-CA" sz="1400"/>
            <a:t> on the Results Dashboard on the right. To undo the changes and go back to the original values, click on Reset Pathway button on the top right. A list of acronyms is provided in the Acronyms tab.</a:t>
          </a:r>
        </a:p>
      </xdr:txBody>
    </xdr:sp>
    <xdr:clientData/>
  </xdr:twoCellAnchor>
  <mc:AlternateContent xmlns:mc="http://schemas.openxmlformats.org/markup-compatibility/2006">
    <mc:Choice xmlns:a14="http://schemas.microsoft.com/office/drawing/2010/main" Requires="a14">
      <xdr:twoCellAnchor editAs="oneCell">
        <xdr:from>
          <xdr:col>15</xdr:col>
          <xdr:colOff>12700</xdr:colOff>
          <xdr:row>41</xdr:row>
          <xdr:rowOff>0</xdr:rowOff>
        </xdr:from>
        <xdr:to>
          <xdr:col>18</xdr:col>
          <xdr:colOff>520700</xdr:colOff>
          <xdr:row>42</xdr:row>
          <xdr:rowOff>82550</xdr:rowOff>
        </xdr:to>
        <xdr:sp macro="" textlink="">
          <xdr:nvSpPr>
            <xdr:cNvPr id="3211" name="Ddl_Chart_Per_Product" hidden="1">
              <a:extLst>
                <a:ext uri="{63B3BB69-23CF-44E3-9099-C40C66FF867C}">
                  <a14:compatExt spid="_x0000_s3211"/>
                </a:ext>
                <a:ext uri="{FF2B5EF4-FFF2-40B4-BE49-F238E27FC236}">
                  <a16:creationId xmlns:a16="http://schemas.microsoft.com/office/drawing/2014/main" id="{00000000-0008-0000-0300-00008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63</xdr:row>
          <xdr:rowOff>12700</xdr:rowOff>
        </xdr:from>
        <xdr:to>
          <xdr:col>9</xdr:col>
          <xdr:colOff>698500</xdr:colOff>
          <xdr:row>63</xdr:row>
          <xdr:rowOff>266700</xdr:rowOff>
        </xdr:to>
        <xdr:sp macro="" textlink="">
          <xdr:nvSpPr>
            <xdr:cNvPr id="3213" name="Electricity_Dry_Diesel" hidden="1">
              <a:extLst>
                <a:ext uri="{63B3BB69-23CF-44E3-9099-C40C66FF867C}">
                  <a14:compatExt spid="_x0000_s3213"/>
                </a:ext>
                <a:ext uri="{FF2B5EF4-FFF2-40B4-BE49-F238E27FC236}">
                  <a16:creationId xmlns:a16="http://schemas.microsoft.com/office/drawing/2014/main" id="{00000000-0008-0000-0300-00008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64</xdr:row>
          <xdr:rowOff>25400</xdr:rowOff>
        </xdr:from>
        <xdr:to>
          <xdr:col>9</xdr:col>
          <xdr:colOff>698500</xdr:colOff>
          <xdr:row>64</xdr:row>
          <xdr:rowOff>279400</xdr:rowOff>
        </xdr:to>
        <xdr:sp macro="" textlink="">
          <xdr:nvSpPr>
            <xdr:cNvPr id="3214" name="CO2_Capture_Dry_Diesel" hidden="1">
              <a:extLst>
                <a:ext uri="{63B3BB69-23CF-44E3-9099-C40C66FF867C}">
                  <a14:compatExt spid="_x0000_s3214"/>
                </a:ext>
                <a:ext uri="{FF2B5EF4-FFF2-40B4-BE49-F238E27FC236}">
                  <a16:creationId xmlns:a16="http://schemas.microsoft.com/office/drawing/2014/main" id="{00000000-0008-0000-0300-00008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69</xdr:row>
          <xdr:rowOff>12700</xdr:rowOff>
        </xdr:from>
        <xdr:to>
          <xdr:col>9</xdr:col>
          <xdr:colOff>698500</xdr:colOff>
          <xdr:row>69</xdr:row>
          <xdr:rowOff>266700</xdr:rowOff>
        </xdr:to>
        <xdr:sp macro="" textlink="">
          <xdr:nvSpPr>
            <xdr:cNvPr id="3216" name="Electricity_Wet_Diesel" hidden="1">
              <a:extLst>
                <a:ext uri="{63B3BB69-23CF-44E3-9099-C40C66FF867C}">
                  <a14:compatExt spid="_x0000_s3216"/>
                </a:ext>
                <a:ext uri="{FF2B5EF4-FFF2-40B4-BE49-F238E27FC236}">
                  <a16:creationId xmlns:a16="http://schemas.microsoft.com/office/drawing/2014/main" id="{00000000-0008-0000-0300-00009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71</xdr:row>
          <xdr:rowOff>25400</xdr:rowOff>
        </xdr:from>
        <xdr:to>
          <xdr:col>9</xdr:col>
          <xdr:colOff>698500</xdr:colOff>
          <xdr:row>71</xdr:row>
          <xdr:rowOff>279400</xdr:rowOff>
        </xdr:to>
        <xdr:sp macro="" textlink="">
          <xdr:nvSpPr>
            <xdr:cNvPr id="3217" name="CO2_Capture_Wet_Diesel" hidden="1">
              <a:extLst>
                <a:ext uri="{63B3BB69-23CF-44E3-9099-C40C66FF867C}">
                  <a14:compatExt spid="_x0000_s3217"/>
                </a:ext>
                <a:ext uri="{FF2B5EF4-FFF2-40B4-BE49-F238E27FC236}">
                  <a16:creationId xmlns:a16="http://schemas.microsoft.com/office/drawing/2014/main" id="{00000000-0008-0000-0300-00009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70</xdr:row>
          <xdr:rowOff>25400</xdr:rowOff>
        </xdr:from>
        <xdr:to>
          <xdr:col>9</xdr:col>
          <xdr:colOff>698500</xdr:colOff>
          <xdr:row>70</xdr:row>
          <xdr:rowOff>266700</xdr:rowOff>
        </xdr:to>
        <xdr:sp macro="" textlink="">
          <xdr:nvSpPr>
            <xdr:cNvPr id="3218" name="Heat_Wet_Diesel" hidden="1">
              <a:extLst>
                <a:ext uri="{63B3BB69-23CF-44E3-9099-C40C66FF867C}">
                  <a14:compatExt spid="_x0000_s3218"/>
                </a:ext>
                <a:ext uri="{FF2B5EF4-FFF2-40B4-BE49-F238E27FC236}">
                  <a16:creationId xmlns:a16="http://schemas.microsoft.com/office/drawing/2014/main" id="{00000000-0008-0000-0300-00009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24343</xdr:colOff>
      <xdr:row>68</xdr:row>
      <xdr:rowOff>15881</xdr:rowOff>
    </xdr:from>
    <xdr:to>
      <xdr:col>38</xdr:col>
      <xdr:colOff>569643</xdr:colOff>
      <xdr:row>94</xdr:row>
      <xdr:rowOff>176256</xdr:rowOff>
    </xdr:to>
    <xdr:graphicFrame macro="">
      <xdr:nvGraphicFramePr>
        <xdr:cNvPr id="3" name="Gráfico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23814</xdr:colOff>
      <xdr:row>98</xdr:row>
      <xdr:rowOff>188916</xdr:rowOff>
    </xdr:from>
    <xdr:to>
      <xdr:col>38</xdr:col>
      <xdr:colOff>569114</xdr:colOff>
      <xdr:row>131</xdr:row>
      <xdr:rowOff>119066</xdr:rowOff>
    </xdr:to>
    <xdr:graphicFrame macro="">
      <xdr:nvGraphicFramePr>
        <xdr:cNvPr id="4" name="Gráfico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38</xdr:col>
      <xdr:colOff>357409</xdr:colOff>
      <xdr:row>127</xdr:row>
      <xdr:rowOff>72570</xdr:rowOff>
    </xdr:from>
    <xdr:to>
      <xdr:col>40</xdr:col>
      <xdr:colOff>50909</xdr:colOff>
      <xdr:row>129</xdr:row>
      <xdr:rowOff>48445</xdr:rowOff>
    </xdr:to>
    <xdr:sp macro="" textlink="">
      <xdr:nvSpPr>
        <xdr:cNvPr id="62" name="Arrow: Right 61">
          <a:extLst>
            <a:ext uri="{FF2B5EF4-FFF2-40B4-BE49-F238E27FC236}">
              <a16:creationId xmlns:a16="http://schemas.microsoft.com/office/drawing/2014/main" id="{00000000-0008-0000-0300-00003E000000}"/>
            </a:ext>
          </a:extLst>
        </xdr:cNvPr>
        <xdr:cNvSpPr/>
      </xdr:nvSpPr>
      <xdr:spPr>
        <a:xfrm>
          <a:off x="24201659" y="27663320"/>
          <a:ext cx="900000" cy="468000"/>
        </a:xfrm>
        <a:prstGeom prst="rightArrow">
          <a:avLst/>
        </a:prstGeom>
        <a:solidFill>
          <a:srgbClr val="C0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mc:AlternateContent xmlns:mc="http://schemas.openxmlformats.org/markup-compatibility/2006">
    <mc:Choice xmlns:a14="http://schemas.microsoft.com/office/drawing/2010/main" Requires="a14">
      <xdr:twoCellAnchor>
        <xdr:from>
          <xdr:col>8</xdr:col>
          <xdr:colOff>19050</xdr:colOff>
          <xdr:row>58</xdr:row>
          <xdr:rowOff>38100</xdr:rowOff>
        </xdr:from>
        <xdr:to>
          <xdr:col>10</xdr:col>
          <xdr:colOff>57150</xdr:colOff>
          <xdr:row>59</xdr:row>
          <xdr:rowOff>215900</xdr:rowOff>
        </xdr:to>
        <xdr:sp macro="" textlink="">
          <xdr:nvSpPr>
            <xdr:cNvPr id="3220" name="Btn_Bioconversion_Reset" hidden="1">
              <a:extLst>
                <a:ext uri="{63B3BB69-23CF-44E3-9099-C40C66FF867C}">
                  <a14:compatExt spid="_x0000_s3220"/>
                </a:ext>
                <a:ext uri="{FF2B5EF4-FFF2-40B4-BE49-F238E27FC236}">
                  <a16:creationId xmlns:a16="http://schemas.microsoft.com/office/drawing/2014/main" id="{00000000-0008-0000-0300-000094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400" b="1" i="0" u="none" strike="noStrike" baseline="0">
                  <a:solidFill>
                    <a:srgbClr val="000000"/>
                  </a:solidFill>
                  <a:latin typeface="Calibri"/>
                  <a:cs typeface="Calibri"/>
                </a:rPr>
                <a:t>Reset Pathway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82</xdr:row>
          <xdr:rowOff>12700</xdr:rowOff>
        </xdr:from>
        <xdr:to>
          <xdr:col>9</xdr:col>
          <xdr:colOff>698500</xdr:colOff>
          <xdr:row>82</xdr:row>
          <xdr:rowOff>266700</xdr:rowOff>
        </xdr:to>
        <xdr:sp macro="" textlink="">
          <xdr:nvSpPr>
            <xdr:cNvPr id="3221" name="Electricity_SOEC-CO_Methane" hidden="1">
              <a:extLst>
                <a:ext uri="{63B3BB69-23CF-44E3-9099-C40C66FF867C}">
                  <a14:compatExt spid="_x0000_s3221"/>
                </a:ext>
                <a:ext uri="{FF2B5EF4-FFF2-40B4-BE49-F238E27FC236}">
                  <a16:creationId xmlns:a16="http://schemas.microsoft.com/office/drawing/2014/main" id="{00000000-0008-0000-0300-00009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84</xdr:row>
          <xdr:rowOff>31750</xdr:rowOff>
        </xdr:from>
        <xdr:to>
          <xdr:col>9</xdr:col>
          <xdr:colOff>698500</xdr:colOff>
          <xdr:row>84</xdr:row>
          <xdr:rowOff>292100</xdr:rowOff>
        </xdr:to>
        <xdr:sp macro="" textlink="">
          <xdr:nvSpPr>
            <xdr:cNvPr id="3222" name="CO2_Capture_SOEC-CO_Methane" hidden="1">
              <a:extLst>
                <a:ext uri="{63B3BB69-23CF-44E3-9099-C40C66FF867C}">
                  <a14:compatExt spid="_x0000_s3222"/>
                </a:ext>
                <a:ext uri="{FF2B5EF4-FFF2-40B4-BE49-F238E27FC236}">
                  <a16:creationId xmlns:a16="http://schemas.microsoft.com/office/drawing/2014/main" id="{00000000-0008-0000-0300-00009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87</xdr:row>
          <xdr:rowOff>12700</xdr:rowOff>
        </xdr:from>
        <xdr:to>
          <xdr:col>9</xdr:col>
          <xdr:colOff>698500</xdr:colOff>
          <xdr:row>87</xdr:row>
          <xdr:rowOff>266700</xdr:rowOff>
        </xdr:to>
        <xdr:sp macro="" textlink="">
          <xdr:nvSpPr>
            <xdr:cNvPr id="3223" name="Electricity_SOEC-CO_Methanol" hidden="1">
              <a:extLst>
                <a:ext uri="{63B3BB69-23CF-44E3-9099-C40C66FF867C}">
                  <a14:compatExt spid="_x0000_s3223"/>
                </a:ext>
                <a:ext uri="{FF2B5EF4-FFF2-40B4-BE49-F238E27FC236}">
                  <a16:creationId xmlns:a16="http://schemas.microsoft.com/office/drawing/2014/main" id="{00000000-0008-0000-0300-00009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89</xdr:row>
          <xdr:rowOff>31750</xdr:rowOff>
        </xdr:from>
        <xdr:to>
          <xdr:col>9</xdr:col>
          <xdr:colOff>698500</xdr:colOff>
          <xdr:row>89</xdr:row>
          <xdr:rowOff>292100</xdr:rowOff>
        </xdr:to>
        <xdr:sp macro="" textlink="">
          <xdr:nvSpPr>
            <xdr:cNvPr id="3224" name="CO2_Capture_SOEC-CO_Methanol" hidden="1">
              <a:extLst>
                <a:ext uri="{63B3BB69-23CF-44E3-9099-C40C66FF867C}">
                  <a14:compatExt spid="_x0000_s3224"/>
                </a:ext>
                <a:ext uri="{FF2B5EF4-FFF2-40B4-BE49-F238E27FC236}">
                  <a16:creationId xmlns:a16="http://schemas.microsoft.com/office/drawing/2014/main" id="{00000000-0008-0000-0300-00009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92</xdr:row>
          <xdr:rowOff>12700</xdr:rowOff>
        </xdr:from>
        <xdr:to>
          <xdr:col>9</xdr:col>
          <xdr:colOff>698500</xdr:colOff>
          <xdr:row>92</xdr:row>
          <xdr:rowOff>273050</xdr:rowOff>
        </xdr:to>
        <xdr:sp macro="" textlink="">
          <xdr:nvSpPr>
            <xdr:cNvPr id="3225" name="Electricity_SOEC-CO_Diesel" hidden="1">
              <a:extLst>
                <a:ext uri="{63B3BB69-23CF-44E3-9099-C40C66FF867C}">
                  <a14:compatExt spid="_x0000_s3225"/>
                </a:ext>
                <a:ext uri="{FF2B5EF4-FFF2-40B4-BE49-F238E27FC236}">
                  <a16:creationId xmlns:a16="http://schemas.microsoft.com/office/drawing/2014/main" id="{00000000-0008-0000-0300-00009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94</xdr:row>
          <xdr:rowOff>31750</xdr:rowOff>
        </xdr:from>
        <xdr:to>
          <xdr:col>9</xdr:col>
          <xdr:colOff>698500</xdr:colOff>
          <xdr:row>94</xdr:row>
          <xdr:rowOff>292100</xdr:rowOff>
        </xdr:to>
        <xdr:sp macro="" textlink="">
          <xdr:nvSpPr>
            <xdr:cNvPr id="3226" name="CO2_Capture_SOEC-CO_Diesel" hidden="1">
              <a:extLst>
                <a:ext uri="{63B3BB69-23CF-44E3-9099-C40C66FF867C}">
                  <a14:compatExt spid="_x0000_s3226"/>
                </a:ext>
                <a:ext uri="{FF2B5EF4-FFF2-40B4-BE49-F238E27FC236}">
                  <a16:creationId xmlns:a16="http://schemas.microsoft.com/office/drawing/2014/main" id="{00000000-0008-0000-0300-00009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97</xdr:row>
          <xdr:rowOff>12700</xdr:rowOff>
        </xdr:from>
        <xdr:to>
          <xdr:col>9</xdr:col>
          <xdr:colOff>698500</xdr:colOff>
          <xdr:row>97</xdr:row>
          <xdr:rowOff>266700</xdr:rowOff>
        </xdr:to>
        <xdr:sp macro="" textlink="">
          <xdr:nvSpPr>
            <xdr:cNvPr id="3227" name="Electricity_SOEC-CO_Ethanol" hidden="1">
              <a:extLst>
                <a:ext uri="{63B3BB69-23CF-44E3-9099-C40C66FF867C}">
                  <a14:compatExt spid="_x0000_s3227"/>
                </a:ext>
                <a:ext uri="{FF2B5EF4-FFF2-40B4-BE49-F238E27FC236}">
                  <a16:creationId xmlns:a16="http://schemas.microsoft.com/office/drawing/2014/main" id="{00000000-0008-0000-0300-00009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98</xdr:row>
          <xdr:rowOff>31750</xdr:rowOff>
        </xdr:from>
        <xdr:to>
          <xdr:col>9</xdr:col>
          <xdr:colOff>698500</xdr:colOff>
          <xdr:row>98</xdr:row>
          <xdr:rowOff>292100</xdr:rowOff>
        </xdr:to>
        <xdr:sp macro="" textlink="">
          <xdr:nvSpPr>
            <xdr:cNvPr id="3228" name="CO2_Capture_SOEC-CO_Ethanol" hidden="1">
              <a:extLst>
                <a:ext uri="{63B3BB69-23CF-44E3-9099-C40C66FF867C}">
                  <a14:compatExt spid="_x0000_s3228"/>
                </a:ext>
                <a:ext uri="{FF2B5EF4-FFF2-40B4-BE49-F238E27FC236}">
                  <a16:creationId xmlns:a16="http://schemas.microsoft.com/office/drawing/2014/main" id="{00000000-0008-0000-0300-00009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103</xdr:row>
          <xdr:rowOff>44450</xdr:rowOff>
        </xdr:from>
        <xdr:to>
          <xdr:col>9</xdr:col>
          <xdr:colOff>698500</xdr:colOff>
          <xdr:row>104</xdr:row>
          <xdr:rowOff>101600</xdr:rowOff>
        </xdr:to>
        <xdr:sp macro="" textlink="">
          <xdr:nvSpPr>
            <xdr:cNvPr id="3229" name="Electricity_SOEC-EL_Methane" hidden="1">
              <a:extLst>
                <a:ext uri="{63B3BB69-23CF-44E3-9099-C40C66FF867C}">
                  <a14:compatExt spid="_x0000_s3229"/>
                </a:ext>
                <a:ext uri="{FF2B5EF4-FFF2-40B4-BE49-F238E27FC236}">
                  <a16:creationId xmlns:a16="http://schemas.microsoft.com/office/drawing/2014/main" id="{00000000-0008-0000-0300-00009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105</xdr:row>
          <xdr:rowOff>31750</xdr:rowOff>
        </xdr:from>
        <xdr:to>
          <xdr:col>9</xdr:col>
          <xdr:colOff>698500</xdr:colOff>
          <xdr:row>105</xdr:row>
          <xdr:rowOff>292100</xdr:rowOff>
        </xdr:to>
        <xdr:sp macro="" textlink="">
          <xdr:nvSpPr>
            <xdr:cNvPr id="3230" name="CO2_Capture_SOEC-EL_Methane" hidden="1">
              <a:extLst>
                <a:ext uri="{63B3BB69-23CF-44E3-9099-C40C66FF867C}">
                  <a14:compatExt spid="_x0000_s3230"/>
                </a:ext>
                <a:ext uri="{FF2B5EF4-FFF2-40B4-BE49-F238E27FC236}">
                  <a16:creationId xmlns:a16="http://schemas.microsoft.com/office/drawing/2014/main" id="{00000000-0008-0000-0300-00009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108</xdr:row>
          <xdr:rowOff>50800</xdr:rowOff>
        </xdr:from>
        <xdr:to>
          <xdr:col>9</xdr:col>
          <xdr:colOff>698500</xdr:colOff>
          <xdr:row>109</xdr:row>
          <xdr:rowOff>114300</xdr:rowOff>
        </xdr:to>
        <xdr:sp macro="" textlink="">
          <xdr:nvSpPr>
            <xdr:cNvPr id="3231" name="Electricity_SOEC-EL_Methanol" hidden="1">
              <a:extLst>
                <a:ext uri="{63B3BB69-23CF-44E3-9099-C40C66FF867C}">
                  <a14:compatExt spid="_x0000_s3231"/>
                </a:ext>
                <a:ext uri="{FF2B5EF4-FFF2-40B4-BE49-F238E27FC236}">
                  <a16:creationId xmlns:a16="http://schemas.microsoft.com/office/drawing/2014/main" id="{00000000-0008-0000-0300-00009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110</xdr:row>
          <xdr:rowOff>31750</xdr:rowOff>
        </xdr:from>
        <xdr:to>
          <xdr:col>9</xdr:col>
          <xdr:colOff>698500</xdr:colOff>
          <xdr:row>110</xdr:row>
          <xdr:rowOff>292100</xdr:rowOff>
        </xdr:to>
        <xdr:sp macro="" textlink="">
          <xdr:nvSpPr>
            <xdr:cNvPr id="3232" name="CO2_Capture_SOEC-EL_Methanol" hidden="1">
              <a:extLst>
                <a:ext uri="{63B3BB69-23CF-44E3-9099-C40C66FF867C}">
                  <a14:compatExt spid="_x0000_s3232"/>
                </a:ext>
                <a:ext uri="{FF2B5EF4-FFF2-40B4-BE49-F238E27FC236}">
                  <a16:creationId xmlns:a16="http://schemas.microsoft.com/office/drawing/2014/main" id="{00000000-0008-0000-0300-0000A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113</xdr:row>
          <xdr:rowOff>12700</xdr:rowOff>
        </xdr:from>
        <xdr:to>
          <xdr:col>9</xdr:col>
          <xdr:colOff>698500</xdr:colOff>
          <xdr:row>113</xdr:row>
          <xdr:rowOff>266700</xdr:rowOff>
        </xdr:to>
        <xdr:sp macro="" textlink="">
          <xdr:nvSpPr>
            <xdr:cNvPr id="3233" name="Electricity_SOEC-EL_Diesel" hidden="1">
              <a:extLst>
                <a:ext uri="{63B3BB69-23CF-44E3-9099-C40C66FF867C}">
                  <a14:compatExt spid="_x0000_s3233"/>
                </a:ext>
                <a:ext uri="{FF2B5EF4-FFF2-40B4-BE49-F238E27FC236}">
                  <a16:creationId xmlns:a16="http://schemas.microsoft.com/office/drawing/2014/main" id="{00000000-0008-0000-0300-0000A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114</xdr:row>
          <xdr:rowOff>31750</xdr:rowOff>
        </xdr:from>
        <xdr:to>
          <xdr:col>9</xdr:col>
          <xdr:colOff>698500</xdr:colOff>
          <xdr:row>114</xdr:row>
          <xdr:rowOff>292100</xdr:rowOff>
        </xdr:to>
        <xdr:sp macro="" textlink="">
          <xdr:nvSpPr>
            <xdr:cNvPr id="3234" name="CO2_Capture_SOEC-EL_Diesel" hidden="1">
              <a:extLst>
                <a:ext uri="{63B3BB69-23CF-44E3-9099-C40C66FF867C}">
                  <a14:compatExt spid="_x0000_s3234"/>
                </a:ext>
                <a:ext uri="{FF2B5EF4-FFF2-40B4-BE49-F238E27FC236}">
                  <a16:creationId xmlns:a16="http://schemas.microsoft.com/office/drawing/2014/main" id="{00000000-0008-0000-0300-0000A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19050</xdr:colOff>
          <xdr:row>77</xdr:row>
          <xdr:rowOff>25400</xdr:rowOff>
        </xdr:from>
        <xdr:to>
          <xdr:col>10</xdr:col>
          <xdr:colOff>57150</xdr:colOff>
          <xdr:row>78</xdr:row>
          <xdr:rowOff>203200</xdr:rowOff>
        </xdr:to>
        <xdr:sp macro="" textlink="">
          <xdr:nvSpPr>
            <xdr:cNvPr id="3241" name="Btn_Electricity_Reset" hidden="1">
              <a:extLst>
                <a:ext uri="{63B3BB69-23CF-44E3-9099-C40C66FF867C}">
                  <a14:compatExt spid="_x0000_s3241"/>
                </a:ext>
                <a:ext uri="{FF2B5EF4-FFF2-40B4-BE49-F238E27FC236}">
                  <a16:creationId xmlns:a16="http://schemas.microsoft.com/office/drawing/2014/main" id="{00000000-0008-0000-0300-0000A9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400" b="1" i="0" u="none" strike="noStrike" baseline="0">
                  <a:solidFill>
                    <a:srgbClr val="000000"/>
                  </a:solidFill>
                  <a:latin typeface="Calibri"/>
                  <a:cs typeface="Calibri"/>
                </a:rPr>
                <a:t>Reset pathway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83</xdr:row>
          <xdr:rowOff>25400</xdr:rowOff>
        </xdr:from>
        <xdr:to>
          <xdr:col>9</xdr:col>
          <xdr:colOff>698500</xdr:colOff>
          <xdr:row>83</xdr:row>
          <xdr:rowOff>266700</xdr:rowOff>
        </xdr:to>
        <xdr:sp macro="" textlink="">
          <xdr:nvSpPr>
            <xdr:cNvPr id="3242" name="Heat_SOEC-CO_Methane" hidden="1">
              <a:extLst>
                <a:ext uri="{63B3BB69-23CF-44E3-9099-C40C66FF867C}">
                  <a14:compatExt spid="_x0000_s3242"/>
                </a:ext>
                <a:ext uri="{FF2B5EF4-FFF2-40B4-BE49-F238E27FC236}">
                  <a16:creationId xmlns:a16="http://schemas.microsoft.com/office/drawing/2014/main" id="{00000000-0008-0000-0300-0000A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88</xdr:row>
          <xdr:rowOff>25400</xdr:rowOff>
        </xdr:from>
        <xdr:to>
          <xdr:col>9</xdr:col>
          <xdr:colOff>698500</xdr:colOff>
          <xdr:row>88</xdr:row>
          <xdr:rowOff>266700</xdr:rowOff>
        </xdr:to>
        <xdr:sp macro="" textlink="">
          <xdr:nvSpPr>
            <xdr:cNvPr id="3243" name="Heat_SOEC-CO_Methanol" hidden="1">
              <a:extLst>
                <a:ext uri="{63B3BB69-23CF-44E3-9099-C40C66FF867C}">
                  <a14:compatExt spid="_x0000_s3243"/>
                </a:ext>
                <a:ext uri="{FF2B5EF4-FFF2-40B4-BE49-F238E27FC236}">
                  <a16:creationId xmlns:a16="http://schemas.microsoft.com/office/drawing/2014/main" id="{00000000-0008-0000-0300-0000A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93</xdr:row>
          <xdr:rowOff>25400</xdr:rowOff>
        </xdr:from>
        <xdr:to>
          <xdr:col>9</xdr:col>
          <xdr:colOff>698500</xdr:colOff>
          <xdr:row>93</xdr:row>
          <xdr:rowOff>266700</xdr:rowOff>
        </xdr:to>
        <xdr:sp macro="" textlink="">
          <xdr:nvSpPr>
            <xdr:cNvPr id="3244" name="Heat_SOEC-CO_Diesel" hidden="1">
              <a:extLst>
                <a:ext uri="{63B3BB69-23CF-44E3-9099-C40C66FF867C}">
                  <a14:compatExt spid="_x0000_s3244"/>
                </a:ext>
                <a:ext uri="{FF2B5EF4-FFF2-40B4-BE49-F238E27FC236}">
                  <a16:creationId xmlns:a16="http://schemas.microsoft.com/office/drawing/2014/main" id="{00000000-0008-0000-0300-0000A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124</xdr:row>
          <xdr:rowOff>12700</xdr:rowOff>
        </xdr:from>
        <xdr:to>
          <xdr:col>9</xdr:col>
          <xdr:colOff>698500</xdr:colOff>
          <xdr:row>124</xdr:row>
          <xdr:rowOff>279400</xdr:rowOff>
        </xdr:to>
        <xdr:sp macro="" textlink="">
          <xdr:nvSpPr>
            <xdr:cNvPr id="3246" name="Hydrocarbon_DMR-CO_Methanol" hidden="1">
              <a:extLst>
                <a:ext uri="{63B3BB69-23CF-44E3-9099-C40C66FF867C}">
                  <a14:compatExt spid="_x0000_s3246"/>
                </a:ext>
                <a:ext uri="{FF2B5EF4-FFF2-40B4-BE49-F238E27FC236}">
                  <a16:creationId xmlns:a16="http://schemas.microsoft.com/office/drawing/2014/main" id="{00000000-0008-0000-0300-0000A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127</xdr:row>
          <xdr:rowOff>31750</xdr:rowOff>
        </xdr:from>
        <xdr:to>
          <xdr:col>9</xdr:col>
          <xdr:colOff>698500</xdr:colOff>
          <xdr:row>127</xdr:row>
          <xdr:rowOff>292100</xdr:rowOff>
        </xdr:to>
        <xdr:sp macro="" textlink="">
          <xdr:nvSpPr>
            <xdr:cNvPr id="3247" name="CO2_Capture_DMR-CO_Methanol" hidden="1">
              <a:extLst>
                <a:ext uri="{63B3BB69-23CF-44E3-9099-C40C66FF867C}">
                  <a14:compatExt spid="_x0000_s3247"/>
                </a:ext>
                <a:ext uri="{FF2B5EF4-FFF2-40B4-BE49-F238E27FC236}">
                  <a16:creationId xmlns:a16="http://schemas.microsoft.com/office/drawing/2014/main" id="{00000000-0008-0000-0300-0000A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125</xdr:row>
          <xdr:rowOff>25400</xdr:rowOff>
        </xdr:from>
        <xdr:to>
          <xdr:col>9</xdr:col>
          <xdr:colOff>698500</xdr:colOff>
          <xdr:row>125</xdr:row>
          <xdr:rowOff>273050</xdr:rowOff>
        </xdr:to>
        <xdr:sp macro="" textlink="">
          <xdr:nvSpPr>
            <xdr:cNvPr id="3248" name="Heat_DMR-CO_Methanol" hidden="1">
              <a:extLst>
                <a:ext uri="{63B3BB69-23CF-44E3-9099-C40C66FF867C}">
                  <a14:compatExt spid="_x0000_s3248"/>
                </a:ext>
                <a:ext uri="{FF2B5EF4-FFF2-40B4-BE49-F238E27FC236}">
                  <a16:creationId xmlns:a16="http://schemas.microsoft.com/office/drawing/2014/main" id="{00000000-0008-0000-0300-0000B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131</xdr:row>
          <xdr:rowOff>31750</xdr:rowOff>
        </xdr:from>
        <xdr:to>
          <xdr:col>9</xdr:col>
          <xdr:colOff>698500</xdr:colOff>
          <xdr:row>131</xdr:row>
          <xdr:rowOff>292100</xdr:rowOff>
        </xdr:to>
        <xdr:sp macro="" textlink="">
          <xdr:nvSpPr>
            <xdr:cNvPr id="3249" name="Hydrocarbon_DMR-H2_Methanol" hidden="1">
              <a:extLst>
                <a:ext uri="{63B3BB69-23CF-44E3-9099-C40C66FF867C}">
                  <a14:compatExt spid="_x0000_s3249"/>
                </a:ext>
                <a:ext uri="{FF2B5EF4-FFF2-40B4-BE49-F238E27FC236}">
                  <a16:creationId xmlns:a16="http://schemas.microsoft.com/office/drawing/2014/main" id="{00000000-0008-0000-0300-0000B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135</xdr:row>
          <xdr:rowOff>6350</xdr:rowOff>
        </xdr:from>
        <xdr:to>
          <xdr:col>9</xdr:col>
          <xdr:colOff>698500</xdr:colOff>
          <xdr:row>135</xdr:row>
          <xdr:rowOff>279400</xdr:rowOff>
        </xdr:to>
        <xdr:sp macro="" textlink="">
          <xdr:nvSpPr>
            <xdr:cNvPr id="3250" name="CO2_Capture_DMR-H2_Methanol" hidden="1">
              <a:extLst>
                <a:ext uri="{63B3BB69-23CF-44E3-9099-C40C66FF867C}">
                  <a14:compatExt spid="_x0000_s3250"/>
                </a:ext>
                <a:ext uri="{FF2B5EF4-FFF2-40B4-BE49-F238E27FC236}">
                  <a16:creationId xmlns:a16="http://schemas.microsoft.com/office/drawing/2014/main" id="{00000000-0008-0000-0300-0000B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132</xdr:row>
          <xdr:rowOff>25400</xdr:rowOff>
        </xdr:from>
        <xdr:to>
          <xdr:col>9</xdr:col>
          <xdr:colOff>698500</xdr:colOff>
          <xdr:row>132</xdr:row>
          <xdr:rowOff>273050</xdr:rowOff>
        </xdr:to>
        <xdr:sp macro="" textlink="">
          <xdr:nvSpPr>
            <xdr:cNvPr id="3251" name="Heat_DMR-H2_Methanol" hidden="1">
              <a:extLst>
                <a:ext uri="{63B3BB69-23CF-44E3-9099-C40C66FF867C}">
                  <a14:compatExt spid="_x0000_s3251"/>
                </a:ext>
                <a:ext uri="{FF2B5EF4-FFF2-40B4-BE49-F238E27FC236}">
                  <a16:creationId xmlns:a16="http://schemas.microsoft.com/office/drawing/2014/main" id="{00000000-0008-0000-0300-0000B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133</xdr:row>
          <xdr:rowOff>25400</xdr:rowOff>
        </xdr:from>
        <xdr:to>
          <xdr:col>9</xdr:col>
          <xdr:colOff>698500</xdr:colOff>
          <xdr:row>133</xdr:row>
          <xdr:rowOff>273050</xdr:rowOff>
        </xdr:to>
        <xdr:sp macro="" textlink="">
          <xdr:nvSpPr>
            <xdr:cNvPr id="3252" name="Hydrogen_DMR-H2_Methanol" hidden="1">
              <a:extLst>
                <a:ext uri="{63B3BB69-23CF-44E3-9099-C40C66FF867C}">
                  <a14:compatExt spid="_x0000_s3252"/>
                </a:ext>
                <a:ext uri="{FF2B5EF4-FFF2-40B4-BE49-F238E27FC236}">
                  <a16:creationId xmlns:a16="http://schemas.microsoft.com/office/drawing/2014/main" id="{00000000-0008-0000-0300-0000B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25400</xdr:colOff>
          <xdr:row>120</xdr:row>
          <xdr:rowOff>25400</xdr:rowOff>
        </xdr:from>
        <xdr:to>
          <xdr:col>10</xdr:col>
          <xdr:colOff>63500</xdr:colOff>
          <xdr:row>121</xdr:row>
          <xdr:rowOff>203200</xdr:rowOff>
        </xdr:to>
        <xdr:sp macro="" textlink="">
          <xdr:nvSpPr>
            <xdr:cNvPr id="3253" name="Btn_Hydrocarbon_Reset" hidden="1">
              <a:extLst>
                <a:ext uri="{63B3BB69-23CF-44E3-9099-C40C66FF867C}">
                  <a14:compatExt spid="_x0000_s3253"/>
                </a:ext>
                <a:ext uri="{FF2B5EF4-FFF2-40B4-BE49-F238E27FC236}">
                  <a16:creationId xmlns:a16="http://schemas.microsoft.com/office/drawing/2014/main" id="{00000000-0008-0000-0300-0000B5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400" b="1" i="0" u="none" strike="noStrike" baseline="0">
                  <a:solidFill>
                    <a:srgbClr val="000000"/>
                  </a:solidFill>
                  <a:latin typeface="Calibri"/>
                  <a:cs typeface="Calibri"/>
                </a:rPr>
                <a:t>Reset pathway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145</xdr:row>
          <xdr:rowOff>19050</xdr:rowOff>
        </xdr:from>
        <xdr:to>
          <xdr:col>9</xdr:col>
          <xdr:colOff>698500</xdr:colOff>
          <xdr:row>145</xdr:row>
          <xdr:rowOff>273050</xdr:rowOff>
        </xdr:to>
        <xdr:sp macro="" textlink="">
          <xdr:nvSpPr>
            <xdr:cNvPr id="3254" name="Light_PCAT_Methane" hidden="1">
              <a:extLst>
                <a:ext uri="{63B3BB69-23CF-44E3-9099-C40C66FF867C}">
                  <a14:compatExt spid="_x0000_s3254"/>
                </a:ext>
                <a:ext uri="{FF2B5EF4-FFF2-40B4-BE49-F238E27FC236}">
                  <a16:creationId xmlns:a16="http://schemas.microsoft.com/office/drawing/2014/main" id="{00000000-0008-0000-0300-0000B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147</xdr:row>
          <xdr:rowOff>31750</xdr:rowOff>
        </xdr:from>
        <xdr:to>
          <xdr:col>9</xdr:col>
          <xdr:colOff>698500</xdr:colOff>
          <xdr:row>147</xdr:row>
          <xdr:rowOff>292100</xdr:rowOff>
        </xdr:to>
        <xdr:sp macro="" textlink="">
          <xdr:nvSpPr>
            <xdr:cNvPr id="3255" name="CO2_Capture_PCAT_Methane" hidden="1">
              <a:extLst>
                <a:ext uri="{63B3BB69-23CF-44E3-9099-C40C66FF867C}">
                  <a14:compatExt spid="_x0000_s3255"/>
                </a:ext>
                <a:ext uri="{FF2B5EF4-FFF2-40B4-BE49-F238E27FC236}">
                  <a16:creationId xmlns:a16="http://schemas.microsoft.com/office/drawing/2014/main" id="{00000000-0008-0000-0300-0000B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150</xdr:row>
          <xdr:rowOff>19050</xdr:rowOff>
        </xdr:from>
        <xdr:to>
          <xdr:col>9</xdr:col>
          <xdr:colOff>698500</xdr:colOff>
          <xdr:row>150</xdr:row>
          <xdr:rowOff>279400</xdr:rowOff>
        </xdr:to>
        <xdr:sp macro="" textlink="">
          <xdr:nvSpPr>
            <xdr:cNvPr id="3256" name="Light_PCAT_Methanol" hidden="1">
              <a:extLst>
                <a:ext uri="{63B3BB69-23CF-44E3-9099-C40C66FF867C}">
                  <a14:compatExt spid="_x0000_s3256"/>
                </a:ext>
                <a:ext uri="{FF2B5EF4-FFF2-40B4-BE49-F238E27FC236}">
                  <a16:creationId xmlns:a16="http://schemas.microsoft.com/office/drawing/2014/main" id="{00000000-0008-0000-0300-0000B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152</xdr:row>
          <xdr:rowOff>25400</xdr:rowOff>
        </xdr:from>
        <xdr:to>
          <xdr:col>9</xdr:col>
          <xdr:colOff>698500</xdr:colOff>
          <xdr:row>152</xdr:row>
          <xdr:rowOff>285750</xdr:rowOff>
        </xdr:to>
        <xdr:sp macro="" textlink="">
          <xdr:nvSpPr>
            <xdr:cNvPr id="3257" name="CO2_Capture_PCAT_Methanol" hidden="1">
              <a:extLst>
                <a:ext uri="{63B3BB69-23CF-44E3-9099-C40C66FF867C}">
                  <a14:compatExt spid="_x0000_s3257"/>
                </a:ext>
                <a:ext uri="{FF2B5EF4-FFF2-40B4-BE49-F238E27FC236}">
                  <a16:creationId xmlns:a16="http://schemas.microsoft.com/office/drawing/2014/main" id="{00000000-0008-0000-0300-0000B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12700</xdr:colOff>
          <xdr:row>141</xdr:row>
          <xdr:rowOff>31750</xdr:rowOff>
        </xdr:from>
        <xdr:to>
          <xdr:col>10</xdr:col>
          <xdr:colOff>44450</xdr:colOff>
          <xdr:row>142</xdr:row>
          <xdr:rowOff>184150</xdr:rowOff>
        </xdr:to>
        <xdr:sp macro="" textlink="">
          <xdr:nvSpPr>
            <xdr:cNvPr id="3258" name="Btn_Light_Reset" hidden="1">
              <a:extLst>
                <a:ext uri="{63B3BB69-23CF-44E3-9099-C40C66FF867C}">
                  <a14:compatExt spid="_x0000_s3258"/>
                </a:ext>
                <a:ext uri="{FF2B5EF4-FFF2-40B4-BE49-F238E27FC236}">
                  <a16:creationId xmlns:a16="http://schemas.microsoft.com/office/drawing/2014/main" id="{00000000-0008-0000-0300-0000BA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400" b="1" i="0" u="none" strike="noStrike" baseline="0">
                  <a:solidFill>
                    <a:srgbClr val="000000"/>
                  </a:solidFill>
                  <a:latin typeface="Calibri"/>
                  <a:cs typeface="Calibri"/>
                </a:rPr>
                <a:t>Reset Pathway</a:t>
              </a:r>
            </a:p>
            <a:p>
              <a:pPr algn="ctr" rtl="0">
                <a:defRPr sz="1000"/>
              </a:pPr>
              <a:endParaRPr lang="en-CA" sz="14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162</xdr:row>
          <xdr:rowOff>25400</xdr:rowOff>
        </xdr:from>
        <xdr:to>
          <xdr:col>9</xdr:col>
          <xdr:colOff>698500</xdr:colOff>
          <xdr:row>162</xdr:row>
          <xdr:rowOff>285750</xdr:rowOff>
        </xdr:to>
        <xdr:sp macro="" textlink="">
          <xdr:nvSpPr>
            <xdr:cNvPr id="3260" name="Hydrogen_D-H2_Diesel" hidden="1">
              <a:extLst>
                <a:ext uri="{63B3BB69-23CF-44E3-9099-C40C66FF867C}">
                  <a14:compatExt spid="_x0000_s3260"/>
                </a:ext>
                <a:ext uri="{FF2B5EF4-FFF2-40B4-BE49-F238E27FC236}">
                  <a16:creationId xmlns:a16="http://schemas.microsoft.com/office/drawing/2014/main" id="{00000000-0008-0000-0300-0000B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163</xdr:row>
          <xdr:rowOff>31750</xdr:rowOff>
        </xdr:from>
        <xdr:to>
          <xdr:col>9</xdr:col>
          <xdr:colOff>698500</xdr:colOff>
          <xdr:row>163</xdr:row>
          <xdr:rowOff>292100</xdr:rowOff>
        </xdr:to>
        <xdr:sp macro="" textlink="">
          <xdr:nvSpPr>
            <xdr:cNvPr id="3261" name="CO2_Capture_D-H2_Diesel" hidden="1">
              <a:extLst>
                <a:ext uri="{63B3BB69-23CF-44E3-9099-C40C66FF867C}">
                  <a14:compatExt spid="_x0000_s3261"/>
                </a:ext>
                <a:ext uri="{FF2B5EF4-FFF2-40B4-BE49-F238E27FC236}">
                  <a16:creationId xmlns:a16="http://schemas.microsoft.com/office/drawing/2014/main" id="{00000000-0008-0000-0300-0000B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167</xdr:row>
          <xdr:rowOff>25400</xdr:rowOff>
        </xdr:from>
        <xdr:to>
          <xdr:col>9</xdr:col>
          <xdr:colOff>698500</xdr:colOff>
          <xdr:row>167</xdr:row>
          <xdr:rowOff>285750</xdr:rowOff>
        </xdr:to>
        <xdr:sp macro="" textlink="">
          <xdr:nvSpPr>
            <xdr:cNvPr id="3262" name="Hydrogen_D-H2_Methane" hidden="1">
              <a:extLst>
                <a:ext uri="{63B3BB69-23CF-44E3-9099-C40C66FF867C}">
                  <a14:compatExt spid="_x0000_s3262"/>
                </a:ext>
                <a:ext uri="{FF2B5EF4-FFF2-40B4-BE49-F238E27FC236}">
                  <a16:creationId xmlns:a16="http://schemas.microsoft.com/office/drawing/2014/main" id="{00000000-0008-0000-0300-0000B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168</xdr:row>
          <xdr:rowOff>31750</xdr:rowOff>
        </xdr:from>
        <xdr:to>
          <xdr:col>9</xdr:col>
          <xdr:colOff>698500</xdr:colOff>
          <xdr:row>168</xdr:row>
          <xdr:rowOff>292100</xdr:rowOff>
        </xdr:to>
        <xdr:sp macro="" textlink="">
          <xdr:nvSpPr>
            <xdr:cNvPr id="3263" name="CO2_Capture_D-H2_Methane" hidden="1">
              <a:extLst>
                <a:ext uri="{63B3BB69-23CF-44E3-9099-C40C66FF867C}">
                  <a14:compatExt spid="_x0000_s3263"/>
                </a:ext>
                <a:ext uri="{FF2B5EF4-FFF2-40B4-BE49-F238E27FC236}">
                  <a16:creationId xmlns:a16="http://schemas.microsoft.com/office/drawing/2014/main" id="{00000000-0008-0000-0300-0000B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166</xdr:row>
          <xdr:rowOff>38100</xdr:rowOff>
        </xdr:from>
        <xdr:to>
          <xdr:col>9</xdr:col>
          <xdr:colOff>698500</xdr:colOff>
          <xdr:row>166</xdr:row>
          <xdr:rowOff>292100</xdr:rowOff>
        </xdr:to>
        <xdr:sp macro="" textlink="">
          <xdr:nvSpPr>
            <xdr:cNvPr id="3264" name="Electricity_D-H2_Methane" hidden="1">
              <a:extLst>
                <a:ext uri="{63B3BB69-23CF-44E3-9099-C40C66FF867C}">
                  <a14:compatExt spid="_x0000_s3264"/>
                </a:ext>
                <a:ext uri="{FF2B5EF4-FFF2-40B4-BE49-F238E27FC236}">
                  <a16:creationId xmlns:a16="http://schemas.microsoft.com/office/drawing/2014/main" id="{00000000-0008-0000-0300-0000C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173</xdr:row>
          <xdr:rowOff>25400</xdr:rowOff>
        </xdr:from>
        <xdr:to>
          <xdr:col>9</xdr:col>
          <xdr:colOff>698500</xdr:colOff>
          <xdr:row>173</xdr:row>
          <xdr:rowOff>285750</xdr:rowOff>
        </xdr:to>
        <xdr:sp macro="" textlink="">
          <xdr:nvSpPr>
            <xdr:cNvPr id="3265" name="Hydrogen_D-H2_Methanol" hidden="1">
              <a:extLst>
                <a:ext uri="{63B3BB69-23CF-44E3-9099-C40C66FF867C}">
                  <a14:compatExt spid="_x0000_s3265"/>
                </a:ext>
                <a:ext uri="{FF2B5EF4-FFF2-40B4-BE49-F238E27FC236}">
                  <a16:creationId xmlns:a16="http://schemas.microsoft.com/office/drawing/2014/main" id="{00000000-0008-0000-0300-0000C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174</xdr:row>
          <xdr:rowOff>31750</xdr:rowOff>
        </xdr:from>
        <xdr:to>
          <xdr:col>9</xdr:col>
          <xdr:colOff>698500</xdr:colOff>
          <xdr:row>174</xdr:row>
          <xdr:rowOff>292100</xdr:rowOff>
        </xdr:to>
        <xdr:sp macro="" textlink="">
          <xdr:nvSpPr>
            <xdr:cNvPr id="3266" name="CO2_Capture_D-H2_Methanol" hidden="1">
              <a:extLst>
                <a:ext uri="{63B3BB69-23CF-44E3-9099-C40C66FF867C}">
                  <a14:compatExt spid="_x0000_s3266"/>
                </a:ext>
                <a:ext uri="{FF2B5EF4-FFF2-40B4-BE49-F238E27FC236}">
                  <a16:creationId xmlns:a16="http://schemas.microsoft.com/office/drawing/2014/main" id="{00000000-0008-0000-0300-0000C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171</xdr:row>
          <xdr:rowOff>38100</xdr:rowOff>
        </xdr:from>
        <xdr:to>
          <xdr:col>9</xdr:col>
          <xdr:colOff>698500</xdr:colOff>
          <xdr:row>171</xdr:row>
          <xdr:rowOff>292100</xdr:rowOff>
        </xdr:to>
        <xdr:sp macro="" textlink="">
          <xdr:nvSpPr>
            <xdr:cNvPr id="3267" name="Electricity_D-H2_Methanol" hidden="1">
              <a:extLst>
                <a:ext uri="{63B3BB69-23CF-44E3-9099-C40C66FF867C}">
                  <a14:compatExt spid="_x0000_s3267"/>
                </a:ext>
                <a:ext uri="{FF2B5EF4-FFF2-40B4-BE49-F238E27FC236}">
                  <a16:creationId xmlns:a16="http://schemas.microsoft.com/office/drawing/2014/main" id="{00000000-0008-0000-0300-0000C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172</xdr:row>
          <xdr:rowOff>31750</xdr:rowOff>
        </xdr:from>
        <xdr:to>
          <xdr:col>9</xdr:col>
          <xdr:colOff>698500</xdr:colOff>
          <xdr:row>172</xdr:row>
          <xdr:rowOff>279400</xdr:rowOff>
        </xdr:to>
        <xdr:sp macro="" textlink="">
          <xdr:nvSpPr>
            <xdr:cNvPr id="3268" name="Heat_D-H2_Methanol" hidden="1">
              <a:extLst>
                <a:ext uri="{63B3BB69-23CF-44E3-9099-C40C66FF867C}">
                  <a14:compatExt spid="_x0000_s3268"/>
                </a:ext>
                <a:ext uri="{FF2B5EF4-FFF2-40B4-BE49-F238E27FC236}">
                  <a16:creationId xmlns:a16="http://schemas.microsoft.com/office/drawing/2014/main" id="{00000000-0008-0000-0300-0000C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25400</xdr:colOff>
          <xdr:row>158</xdr:row>
          <xdr:rowOff>38100</xdr:rowOff>
        </xdr:from>
        <xdr:to>
          <xdr:col>10</xdr:col>
          <xdr:colOff>63500</xdr:colOff>
          <xdr:row>159</xdr:row>
          <xdr:rowOff>215900</xdr:rowOff>
        </xdr:to>
        <xdr:sp macro="" textlink="">
          <xdr:nvSpPr>
            <xdr:cNvPr id="3269" name="Btn_Hydrogen_Reset" hidden="1">
              <a:extLst>
                <a:ext uri="{63B3BB69-23CF-44E3-9099-C40C66FF867C}">
                  <a14:compatExt spid="_x0000_s3269"/>
                </a:ext>
                <a:ext uri="{FF2B5EF4-FFF2-40B4-BE49-F238E27FC236}">
                  <a16:creationId xmlns:a16="http://schemas.microsoft.com/office/drawing/2014/main" id="{00000000-0008-0000-0300-0000C5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400" b="1" i="0" u="none" strike="noStrike" baseline="0">
                  <a:solidFill>
                    <a:srgbClr val="000000"/>
                  </a:solidFill>
                  <a:latin typeface="Calibri"/>
                  <a:cs typeface="Calibri"/>
                </a:rPr>
                <a:t>Reset Pathway</a:t>
              </a:r>
            </a:p>
          </xdr:txBody>
        </xdr:sp>
        <xdr:clientData fPrintsWithSheet="0"/>
      </xdr:twoCellAnchor>
    </mc:Choice>
    <mc:Fallback/>
  </mc:AlternateContent>
  <xdr:twoCellAnchor>
    <xdr:from>
      <xdr:col>38</xdr:col>
      <xdr:colOff>341080</xdr:colOff>
      <xdr:row>94</xdr:row>
      <xdr:rowOff>36285</xdr:rowOff>
    </xdr:from>
    <xdr:to>
      <xdr:col>40</xdr:col>
      <xdr:colOff>34580</xdr:colOff>
      <xdr:row>95</xdr:row>
      <xdr:rowOff>194722</xdr:rowOff>
    </xdr:to>
    <xdr:sp macro="" textlink="">
      <xdr:nvSpPr>
        <xdr:cNvPr id="60" name="Arrow: Right 59">
          <a:extLst>
            <a:ext uri="{FF2B5EF4-FFF2-40B4-BE49-F238E27FC236}">
              <a16:creationId xmlns:a16="http://schemas.microsoft.com/office/drawing/2014/main" id="{00000000-0008-0000-0300-00003C000000}"/>
            </a:ext>
          </a:extLst>
        </xdr:cNvPr>
        <xdr:cNvSpPr/>
      </xdr:nvSpPr>
      <xdr:spPr>
        <a:xfrm>
          <a:off x="24185330" y="20689660"/>
          <a:ext cx="900000" cy="468000"/>
        </a:xfrm>
        <a:prstGeom prst="rightArrow">
          <a:avLst/>
        </a:prstGeom>
        <a:solidFill>
          <a:srgbClr val="C0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38</xdr:col>
      <xdr:colOff>306609</xdr:colOff>
      <xdr:row>62</xdr:row>
      <xdr:rowOff>0</xdr:rowOff>
    </xdr:from>
    <xdr:to>
      <xdr:col>40</xdr:col>
      <xdr:colOff>109</xdr:colOff>
      <xdr:row>64</xdr:row>
      <xdr:rowOff>174313</xdr:rowOff>
    </xdr:to>
    <xdr:sp macro="" textlink="">
      <xdr:nvSpPr>
        <xdr:cNvPr id="57" name="Arrow: Right 56">
          <a:extLst>
            <a:ext uri="{FF2B5EF4-FFF2-40B4-BE49-F238E27FC236}">
              <a16:creationId xmlns:a16="http://schemas.microsoft.com/office/drawing/2014/main" id="{00000000-0008-0000-0300-000039000000}"/>
            </a:ext>
          </a:extLst>
        </xdr:cNvPr>
        <xdr:cNvSpPr/>
      </xdr:nvSpPr>
      <xdr:spPr>
        <a:xfrm>
          <a:off x="24150859" y="13723938"/>
          <a:ext cx="900000" cy="468000"/>
        </a:xfrm>
        <a:prstGeom prst="rightArrow">
          <a:avLst/>
        </a:prstGeom>
        <a:solidFill>
          <a:srgbClr val="C0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38</xdr:col>
      <xdr:colOff>308431</xdr:colOff>
      <xdr:row>35</xdr:row>
      <xdr:rowOff>136072</xdr:rowOff>
    </xdr:from>
    <xdr:to>
      <xdr:col>40</xdr:col>
      <xdr:colOff>1931</xdr:colOff>
      <xdr:row>38</xdr:row>
      <xdr:rowOff>207197</xdr:rowOff>
    </xdr:to>
    <xdr:sp macro="" textlink="">
      <xdr:nvSpPr>
        <xdr:cNvPr id="6" name="Arrow: Right 5">
          <a:extLst>
            <a:ext uri="{FF2B5EF4-FFF2-40B4-BE49-F238E27FC236}">
              <a16:creationId xmlns:a16="http://schemas.microsoft.com/office/drawing/2014/main" id="{00000000-0008-0000-0300-000006000000}"/>
            </a:ext>
          </a:extLst>
        </xdr:cNvPr>
        <xdr:cNvSpPr/>
      </xdr:nvSpPr>
      <xdr:spPr>
        <a:xfrm>
          <a:off x="24152681" y="8295822"/>
          <a:ext cx="900000" cy="468000"/>
        </a:xfrm>
        <a:prstGeom prst="rightArrow">
          <a:avLst/>
        </a:prstGeom>
        <a:solidFill>
          <a:srgbClr val="C0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mc:AlternateContent xmlns:mc="http://schemas.openxmlformats.org/markup-compatibility/2006">
    <mc:Choice xmlns:a14="http://schemas.microsoft.com/office/drawing/2010/main" Requires="a14">
      <xdr:twoCellAnchor editAs="oneCell">
        <xdr:from>
          <xdr:col>5</xdr:col>
          <xdr:colOff>19050</xdr:colOff>
          <xdr:row>9</xdr:row>
          <xdr:rowOff>12700</xdr:rowOff>
        </xdr:from>
        <xdr:to>
          <xdr:col>6</xdr:col>
          <xdr:colOff>698500</xdr:colOff>
          <xdr:row>10</xdr:row>
          <xdr:rowOff>6350</xdr:rowOff>
        </xdr:to>
        <xdr:sp macro="" textlink="">
          <xdr:nvSpPr>
            <xdr:cNvPr id="3271" name="chk_User_Electricity" hidden="1">
              <a:extLst>
                <a:ext uri="{63B3BB69-23CF-44E3-9099-C40C66FF867C}">
                  <a14:compatExt spid="_x0000_s3271"/>
                </a:ext>
                <a:ext uri="{FF2B5EF4-FFF2-40B4-BE49-F238E27FC236}">
                  <a16:creationId xmlns:a16="http://schemas.microsoft.com/office/drawing/2014/main" id="{00000000-0008-0000-0300-0000C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CA" sz="800" b="0" i="0" u="none" strike="noStrike" baseline="0">
                  <a:solidFill>
                    <a:srgbClr val="000000"/>
                  </a:solidFill>
                  <a:latin typeface="Segoe UI"/>
                  <a:cs typeface="Segoe UI"/>
                </a:rPr>
                <a:t>Use this emission factor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6350</xdr:colOff>
          <xdr:row>13</xdr:row>
          <xdr:rowOff>12700</xdr:rowOff>
        </xdr:from>
        <xdr:to>
          <xdr:col>6</xdr:col>
          <xdr:colOff>679450</xdr:colOff>
          <xdr:row>13</xdr:row>
          <xdr:rowOff>273050</xdr:rowOff>
        </xdr:to>
        <xdr:sp macro="" textlink="">
          <xdr:nvSpPr>
            <xdr:cNvPr id="3273" name="chk_User_Steam" hidden="1">
              <a:extLst>
                <a:ext uri="{63B3BB69-23CF-44E3-9099-C40C66FF867C}">
                  <a14:compatExt spid="_x0000_s3273"/>
                </a:ext>
                <a:ext uri="{FF2B5EF4-FFF2-40B4-BE49-F238E27FC236}">
                  <a16:creationId xmlns:a16="http://schemas.microsoft.com/office/drawing/2014/main" id="{00000000-0008-0000-0300-0000C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CA" sz="800" b="0" i="0" u="none" strike="noStrike" baseline="0">
                  <a:solidFill>
                    <a:srgbClr val="000000"/>
                  </a:solidFill>
                  <a:latin typeface="Segoe UI"/>
                  <a:cs typeface="Segoe UI"/>
                </a:rPr>
                <a:t>Use this emission factor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6350</xdr:colOff>
          <xdr:row>15</xdr:row>
          <xdr:rowOff>6350</xdr:rowOff>
        </xdr:from>
        <xdr:to>
          <xdr:col>6</xdr:col>
          <xdr:colOff>679450</xdr:colOff>
          <xdr:row>15</xdr:row>
          <xdr:rowOff>266700</xdr:rowOff>
        </xdr:to>
        <xdr:sp macro="" textlink="">
          <xdr:nvSpPr>
            <xdr:cNvPr id="3274" name="chk_User_Hydrogen" hidden="1">
              <a:extLst>
                <a:ext uri="{63B3BB69-23CF-44E3-9099-C40C66FF867C}">
                  <a14:compatExt spid="_x0000_s3274"/>
                </a:ext>
                <a:ext uri="{FF2B5EF4-FFF2-40B4-BE49-F238E27FC236}">
                  <a16:creationId xmlns:a16="http://schemas.microsoft.com/office/drawing/2014/main" id="{00000000-0008-0000-0300-0000C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CA" sz="800" b="0" i="0" u="none" strike="noStrike" baseline="0">
                  <a:solidFill>
                    <a:srgbClr val="000000"/>
                  </a:solidFill>
                  <a:latin typeface="Segoe UI"/>
                  <a:cs typeface="Segoe UI"/>
                </a:rPr>
                <a:t>Use this emission factor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6350</xdr:colOff>
          <xdr:row>17</xdr:row>
          <xdr:rowOff>19050</xdr:rowOff>
        </xdr:from>
        <xdr:to>
          <xdr:col>6</xdr:col>
          <xdr:colOff>679450</xdr:colOff>
          <xdr:row>17</xdr:row>
          <xdr:rowOff>279400</xdr:rowOff>
        </xdr:to>
        <xdr:sp macro="" textlink="">
          <xdr:nvSpPr>
            <xdr:cNvPr id="3275" name="chk_User_CO2" hidden="1">
              <a:extLst>
                <a:ext uri="{63B3BB69-23CF-44E3-9099-C40C66FF867C}">
                  <a14:compatExt spid="_x0000_s3275"/>
                </a:ext>
                <a:ext uri="{FF2B5EF4-FFF2-40B4-BE49-F238E27FC236}">
                  <a16:creationId xmlns:a16="http://schemas.microsoft.com/office/drawing/2014/main" id="{00000000-0008-0000-0300-0000C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CA" sz="800" b="0" i="0" u="none" strike="noStrike" baseline="0">
                  <a:solidFill>
                    <a:srgbClr val="000000"/>
                  </a:solidFill>
                  <a:latin typeface="Segoe UI"/>
                  <a:cs typeface="Segoe UI"/>
                </a:rPr>
                <a:t>Use this emission factor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6350</xdr:colOff>
          <xdr:row>11</xdr:row>
          <xdr:rowOff>19050</xdr:rowOff>
        </xdr:from>
        <xdr:to>
          <xdr:col>6</xdr:col>
          <xdr:colOff>679450</xdr:colOff>
          <xdr:row>11</xdr:row>
          <xdr:rowOff>279400</xdr:rowOff>
        </xdr:to>
        <xdr:sp macro="" textlink="">
          <xdr:nvSpPr>
            <xdr:cNvPr id="3276" name="chk_User_Heat" hidden="1">
              <a:extLst>
                <a:ext uri="{63B3BB69-23CF-44E3-9099-C40C66FF867C}">
                  <a14:compatExt spid="_x0000_s3276"/>
                </a:ext>
                <a:ext uri="{FF2B5EF4-FFF2-40B4-BE49-F238E27FC236}">
                  <a16:creationId xmlns:a16="http://schemas.microsoft.com/office/drawing/2014/main" id="{00000000-0008-0000-0300-0000C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CA" sz="800" b="0" i="0" u="none" strike="noStrike" baseline="0">
                  <a:solidFill>
                    <a:srgbClr val="000000"/>
                  </a:solidFill>
                  <a:latin typeface="Segoe UI"/>
                  <a:cs typeface="Segoe UI"/>
                </a:rPr>
                <a:t>Use this emission factor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361950</xdr:colOff>
          <xdr:row>51</xdr:row>
          <xdr:rowOff>31750</xdr:rowOff>
        </xdr:from>
        <xdr:to>
          <xdr:col>9</xdr:col>
          <xdr:colOff>711200</xdr:colOff>
          <xdr:row>51</xdr:row>
          <xdr:rowOff>285750</xdr:rowOff>
        </xdr:to>
        <xdr:sp macro="" textlink="">
          <xdr:nvSpPr>
            <xdr:cNvPr id="3277" name="Electricity_DMC-O_Magnesite" hidden="1">
              <a:extLst>
                <a:ext uri="{63B3BB69-23CF-44E3-9099-C40C66FF867C}">
                  <a14:compatExt spid="_x0000_s3277"/>
                </a:ext>
                <a:ext uri="{FF2B5EF4-FFF2-40B4-BE49-F238E27FC236}">
                  <a16:creationId xmlns:a16="http://schemas.microsoft.com/office/drawing/2014/main" id="{00000000-0008-0000-0300-0000C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71441</xdr:colOff>
      <xdr:row>19</xdr:row>
      <xdr:rowOff>0</xdr:rowOff>
    </xdr:from>
    <xdr:to>
      <xdr:col>3</xdr:col>
      <xdr:colOff>239889</xdr:colOff>
      <xdr:row>23</xdr:row>
      <xdr:rowOff>28222</xdr:rowOff>
    </xdr:to>
    <xdr:sp macro="" textlink="">
      <xdr:nvSpPr>
        <xdr:cNvPr id="87" name="TextBox 86">
          <a:extLst>
            <a:ext uri="{FF2B5EF4-FFF2-40B4-BE49-F238E27FC236}">
              <a16:creationId xmlns:a16="http://schemas.microsoft.com/office/drawing/2014/main" id="{00000000-0008-0000-0300-000057000000}"/>
            </a:ext>
          </a:extLst>
        </xdr:cNvPr>
        <xdr:cNvSpPr txBox="1"/>
      </xdr:nvSpPr>
      <xdr:spPr>
        <a:xfrm>
          <a:off x="226663" y="4720167"/>
          <a:ext cx="1706559" cy="896055"/>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200"/>
            <a:t>For more information</a:t>
          </a:r>
          <a:r>
            <a:rPr lang="en-CA" sz="1200" baseline="0"/>
            <a:t> about  emission factors, please refer to the Emission Factors tab.</a:t>
          </a:r>
          <a:endParaRPr lang="en-CA" sz="1200"/>
        </a:p>
      </xdr:txBody>
    </xdr:sp>
    <xdr:clientData/>
  </xdr:twoCellAnchor>
  <xdr:twoCellAnchor>
    <xdr:from>
      <xdr:col>4</xdr:col>
      <xdr:colOff>70564</xdr:colOff>
      <xdr:row>19</xdr:row>
      <xdr:rowOff>0</xdr:rowOff>
    </xdr:from>
    <xdr:to>
      <xdr:col>8</xdr:col>
      <xdr:colOff>599729</xdr:colOff>
      <xdr:row>23</xdr:row>
      <xdr:rowOff>111125</xdr:rowOff>
    </xdr:to>
    <xdr:sp macro="" textlink="">
      <xdr:nvSpPr>
        <xdr:cNvPr id="88" name="TextBox 87">
          <a:extLst>
            <a:ext uri="{FF2B5EF4-FFF2-40B4-BE49-F238E27FC236}">
              <a16:creationId xmlns:a16="http://schemas.microsoft.com/office/drawing/2014/main" id="{00000000-0008-0000-0300-000058000000}"/>
            </a:ext>
          </a:extLst>
        </xdr:cNvPr>
        <xdr:cNvSpPr txBox="1"/>
      </xdr:nvSpPr>
      <xdr:spPr>
        <a:xfrm>
          <a:off x="2377731" y="4720167"/>
          <a:ext cx="3675942" cy="978958"/>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200"/>
            <a:t>The additional literature values presented</a:t>
          </a:r>
          <a:r>
            <a:rPr lang="en-CA" sz="1200" baseline="0"/>
            <a:t> in Figure 1</a:t>
          </a:r>
          <a:r>
            <a:rPr lang="en-CA" sz="1200"/>
            <a:t> are not related to uncertainty. They are point estimates based on different studies to demonstrate</a:t>
          </a:r>
          <a:r>
            <a:rPr lang="en-CA" sz="1200" baseline="0"/>
            <a:t> some of the variability associated with these pathways</a:t>
          </a:r>
          <a:r>
            <a:rPr lang="en-CA" sz="1200"/>
            <a:t>.</a:t>
          </a:r>
        </a:p>
      </xdr:txBody>
    </xdr:sp>
    <xdr:clientData/>
  </xdr:twoCellAnchor>
  <mc:AlternateContent xmlns:mc="http://schemas.openxmlformats.org/markup-compatibility/2006">
    <mc:Choice xmlns:a14="http://schemas.microsoft.com/office/drawing/2010/main" Requires="a14">
      <xdr:twoCellAnchor editAs="oneCell">
        <xdr:from>
          <xdr:col>2</xdr:col>
          <xdr:colOff>406400</xdr:colOff>
          <xdr:row>9</xdr:row>
          <xdr:rowOff>0</xdr:rowOff>
        </xdr:from>
        <xdr:to>
          <xdr:col>4</xdr:col>
          <xdr:colOff>444500</xdr:colOff>
          <xdr:row>9</xdr:row>
          <xdr:rowOff>254000</xdr:rowOff>
        </xdr:to>
        <xdr:sp macro="" textlink="">
          <xdr:nvSpPr>
            <xdr:cNvPr id="3278" name="Ddl_General_Electricity" hidden="1">
              <a:extLst>
                <a:ext uri="{63B3BB69-23CF-44E3-9099-C40C66FF867C}">
                  <a14:compatExt spid="_x0000_s3278"/>
                </a:ext>
                <a:ext uri="{FF2B5EF4-FFF2-40B4-BE49-F238E27FC236}">
                  <a16:creationId xmlns:a16="http://schemas.microsoft.com/office/drawing/2014/main" id="{00000000-0008-0000-0300-0000C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406400</xdr:colOff>
          <xdr:row>11</xdr:row>
          <xdr:rowOff>12700</xdr:rowOff>
        </xdr:from>
        <xdr:to>
          <xdr:col>4</xdr:col>
          <xdr:colOff>444500</xdr:colOff>
          <xdr:row>12</xdr:row>
          <xdr:rowOff>0</xdr:rowOff>
        </xdr:to>
        <xdr:sp macro="" textlink="">
          <xdr:nvSpPr>
            <xdr:cNvPr id="3279" name="Ddl_General_Heat" hidden="1">
              <a:extLst>
                <a:ext uri="{63B3BB69-23CF-44E3-9099-C40C66FF867C}">
                  <a14:compatExt spid="_x0000_s3279"/>
                </a:ext>
                <a:ext uri="{FF2B5EF4-FFF2-40B4-BE49-F238E27FC236}">
                  <a16:creationId xmlns:a16="http://schemas.microsoft.com/office/drawing/2014/main" id="{00000000-0008-0000-0300-0000C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406400</xdr:colOff>
          <xdr:row>13</xdr:row>
          <xdr:rowOff>19050</xdr:rowOff>
        </xdr:from>
        <xdr:to>
          <xdr:col>4</xdr:col>
          <xdr:colOff>444500</xdr:colOff>
          <xdr:row>13</xdr:row>
          <xdr:rowOff>298450</xdr:rowOff>
        </xdr:to>
        <xdr:sp macro="" textlink="">
          <xdr:nvSpPr>
            <xdr:cNvPr id="3283" name="Ddl_General_Steam" hidden="1">
              <a:extLst>
                <a:ext uri="{63B3BB69-23CF-44E3-9099-C40C66FF867C}">
                  <a14:compatExt spid="_x0000_s3283"/>
                </a:ext>
                <a:ext uri="{FF2B5EF4-FFF2-40B4-BE49-F238E27FC236}">
                  <a16:creationId xmlns:a16="http://schemas.microsoft.com/office/drawing/2014/main" id="{00000000-0008-0000-0300-0000D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419100</xdr:colOff>
          <xdr:row>15</xdr:row>
          <xdr:rowOff>6350</xdr:rowOff>
        </xdr:from>
        <xdr:to>
          <xdr:col>4</xdr:col>
          <xdr:colOff>444500</xdr:colOff>
          <xdr:row>15</xdr:row>
          <xdr:rowOff>273050</xdr:rowOff>
        </xdr:to>
        <xdr:sp macro="" textlink="">
          <xdr:nvSpPr>
            <xdr:cNvPr id="3284" name="Ddl_General_Hydrogen" hidden="1">
              <a:extLst>
                <a:ext uri="{63B3BB69-23CF-44E3-9099-C40C66FF867C}">
                  <a14:compatExt spid="_x0000_s3284"/>
                </a:ext>
                <a:ext uri="{FF2B5EF4-FFF2-40B4-BE49-F238E27FC236}">
                  <a16:creationId xmlns:a16="http://schemas.microsoft.com/office/drawing/2014/main" id="{00000000-0008-0000-0300-0000D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425450</xdr:colOff>
          <xdr:row>17</xdr:row>
          <xdr:rowOff>12700</xdr:rowOff>
        </xdr:from>
        <xdr:to>
          <xdr:col>4</xdr:col>
          <xdr:colOff>463550</xdr:colOff>
          <xdr:row>17</xdr:row>
          <xdr:rowOff>285750</xdr:rowOff>
        </xdr:to>
        <xdr:sp macro="" textlink="">
          <xdr:nvSpPr>
            <xdr:cNvPr id="3285" name="Ddl_General_CO2_Capture" hidden="1">
              <a:extLst>
                <a:ext uri="{63B3BB69-23CF-44E3-9099-C40C66FF867C}">
                  <a14:compatExt spid="_x0000_s3285"/>
                </a:ext>
                <a:ext uri="{FF2B5EF4-FFF2-40B4-BE49-F238E27FC236}">
                  <a16:creationId xmlns:a16="http://schemas.microsoft.com/office/drawing/2014/main" id="{00000000-0008-0000-0300-0000D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12700</xdr:colOff>
          <xdr:row>20</xdr:row>
          <xdr:rowOff>25400</xdr:rowOff>
        </xdr:from>
        <xdr:to>
          <xdr:col>10</xdr:col>
          <xdr:colOff>317500</xdr:colOff>
          <xdr:row>22</xdr:row>
          <xdr:rowOff>101600</xdr:rowOff>
        </xdr:to>
        <xdr:sp macro="" textlink="">
          <xdr:nvSpPr>
            <xdr:cNvPr id="3286" name="Chk_Literature" descr="Show/Hide additional literature values" hidden="1">
              <a:extLst>
                <a:ext uri="{63B3BB69-23CF-44E3-9099-C40C66FF867C}">
                  <a14:compatExt spid="_x0000_s3286"/>
                </a:ext>
                <a:ext uri="{FF2B5EF4-FFF2-40B4-BE49-F238E27FC236}">
                  <a16:creationId xmlns:a16="http://schemas.microsoft.com/office/drawing/2014/main" id="{00000000-0008-0000-0300-0000D60C0000}"/>
                </a:ext>
              </a:extLst>
            </xdr:cNvPr>
            <xdr:cNvSpPr/>
          </xdr:nvSpPr>
          <xdr:spPr bwMode="auto">
            <a:xfrm>
              <a:off x="0" y="0"/>
              <a:ext cx="0" cy="0"/>
            </a:xfrm>
            <a:prstGeom prst="rect">
              <a:avLst/>
            </a:prstGeom>
            <a:noFill/>
            <a:ln w="9525">
              <a:solidFill>
                <a:srgbClr val="000000"/>
              </a:solidFill>
              <a:miter lim="800000"/>
              <a:headEnd/>
              <a:tailEnd/>
            </a:ln>
            <a:extLst>
              <a:ext uri="{909E8E84-426E-40DD-AFC4-6F175D3DCCD1}">
                <a14:hiddenFill>
                  <a:solidFill>
                    <a:srgbClr val="FFFFFF"/>
                  </a:solidFill>
                </a14:hiddenFill>
              </a:ext>
            </a:extLst>
          </xdr:spPr>
          <xdr:txBody>
            <a:bodyPr vertOverflow="clip" wrap="square" lIns="36576" tIns="32004" rIns="0" bIns="32004" anchor="ctr" upright="1"/>
            <a:lstStyle/>
            <a:p>
              <a:pPr algn="l" rtl="0">
                <a:defRPr sz="1000"/>
              </a:pPr>
              <a:r>
                <a:rPr lang="en-CA" sz="800" b="0" i="0" u="none" strike="noStrike" baseline="0">
                  <a:solidFill>
                    <a:srgbClr val="000000"/>
                  </a:solidFill>
                  <a:latin typeface="Segoe UI"/>
                  <a:cs typeface="Segoe UI"/>
                </a:rPr>
                <a:t>Show additional literature values in Figure 1</a:t>
              </a:r>
            </a:p>
          </xdr:txBody>
        </xdr:sp>
        <xdr:clientData fPrintsWithSheet="0"/>
      </xdr:twoCellAnchor>
    </mc:Choice>
    <mc:Fallback/>
  </mc:AlternateContent>
  <xdr:twoCellAnchor>
    <xdr:from>
      <xdr:col>40</xdr:col>
      <xdr:colOff>0</xdr:colOff>
      <xdr:row>40</xdr:row>
      <xdr:rowOff>0</xdr:rowOff>
    </xdr:from>
    <xdr:to>
      <xdr:col>46</xdr:col>
      <xdr:colOff>222300</xdr:colOff>
      <xdr:row>66</xdr:row>
      <xdr:rowOff>71438</xdr:rowOff>
    </xdr:to>
    <xdr:sp macro="" textlink="">
      <xdr:nvSpPr>
        <xdr:cNvPr id="91" name="TextBox 90">
          <a:extLst>
            <a:ext uri="{FF2B5EF4-FFF2-40B4-BE49-F238E27FC236}">
              <a16:creationId xmlns:a16="http://schemas.microsoft.com/office/drawing/2014/main" id="{00000000-0008-0000-0300-00005B000000}"/>
            </a:ext>
          </a:extLst>
        </xdr:cNvPr>
        <xdr:cNvSpPr txBox="1"/>
      </xdr:nvSpPr>
      <xdr:spPr>
        <a:xfrm>
          <a:off x="25101550" y="9099550"/>
          <a:ext cx="4680000" cy="5430838"/>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600"/>
            <a:t>In Figure 2, the metric of evaluation is kg CO</a:t>
          </a:r>
          <a:r>
            <a:rPr lang="en-CA" sz="1600" baseline="-25000"/>
            <a:t>2</a:t>
          </a:r>
          <a:r>
            <a:rPr lang="en-CA" sz="1600"/>
            <a:t>eq emitted per kg of product</a:t>
          </a:r>
          <a:r>
            <a:rPr lang="en-CA" sz="1600" baseline="0"/>
            <a:t> </a:t>
          </a:r>
          <a:r>
            <a:rPr lang="en-CA" sz="1600"/>
            <a:t>produced by each pathway.</a:t>
          </a:r>
        </a:p>
        <a:p>
          <a:endParaRPr lang="en-CA" sz="1600"/>
        </a:p>
        <a:p>
          <a:r>
            <a:rPr lang="en-CA" sz="1600"/>
            <a:t>Comparison across products is not allowed in this section, since for example, 1 kg of magnesite is not equivalent to 1 kg of diesel or methane.</a:t>
          </a:r>
        </a:p>
        <a:p>
          <a:endParaRPr lang="en-CA" sz="1600"/>
        </a:p>
        <a:p>
          <a:r>
            <a:rPr lang="en-CA" sz="1600"/>
            <a:t>The last column in the figure is the net emissions of the incumbent technology.</a:t>
          </a:r>
          <a:r>
            <a:rPr lang="en-CA" sz="1600" baseline="0"/>
            <a:t> </a:t>
          </a:r>
        </a:p>
        <a:p>
          <a:r>
            <a:rPr lang="en-CA" sz="1600"/>
            <a:t>The incumbent technology is one estimate of a conventional production method. Competitors were not considered. </a:t>
          </a:r>
        </a:p>
        <a:p>
          <a:r>
            <a:rPr lang="en-CA" sz="1600"/>
            <a:t>For</a:t>
          </a:r>
          <a:r>
            <a:rPr lang="en-CA" sz="1600" baseline="0"/>
            <a:t> consistency, </a:t>
          </a:r>
          <a:r>
            <a:rPr lang="en-CA" sz="1600"/>
            <a:t>the emission factors defined in the General</a:t>
          </a:r>
          <a:r>
            <a:rPr lang="en-CA" sz="1600" baseline="0"/>
            <a:t> A</a:t>
          </a:r>
          <a:r>
            <a:rPr lang="en-CA" sz="1600"/>
            <a:t>ssumptions section are applied to the  incumbent fuels. Importantly,</a:t>
          </a:r>
          <a:r>
            <a:rPr lang="en-CA" sz="1600" baseline="0"/>
            <a:t> even though it is possible to change the intensities of inputs for incumbents, the incumbent technology estimate does not cover the full range of possible technologies that CCU pathways will compete against in the future.</a:t>
          </a:r>
          <a:endParaRPr lang="en-CA" sz="1600"/>
        </a:p>
      </xdr:txBody>
    </xdr:sp>
    <xdr:clientData/>
  </xdr:twoCellAnchor>
  <xdr:twoCellAnchor>
    <xdr:from>
      <xdr:col>40</xdr:col>
      <xdr:colOff>0</xdr:colOff>
      <xdr:row>67</xdr:row>
      <xdr:rowOff>0</xdr:rowOff>
    </xdr:from>
    <xdr:to>
      <xdr:col>46</xdr:col>
      <xdr:colOff>222300</xdr:colOff>
      <xdr:row>96</xdr:row>
      <xdr:rowOff>150812</xdr:rowOff>
    </xdr:to>
    <xdr:sp macro="" textlink="">
      <xdr:nvSpPr>
        <xdr:cNvPr id="93" name="TextBox 92">
          <a:extLst>
            <a:ext uri="{FF2B5EF4-FFF2-40B4-BE49-F238E27FC236}">
              <a16:creationId xmlns:a16="http://schemas.microsoft.com/office/drawing/2014/main" id="{00000000-0008-0000-0300-00005D000000}"/>
            </a:ext>
          </a:extLst>
        </xdr:cNvPr>
        <xdr:cNvSpPr txBox="1"/>
      </xdr:nvSpPr>
      <xdr:spPr>
        <a:xfrm>
          <a:off x="25101550" y="14744700"/>
          <a:ext cx="4680000" cy="6532562"/>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600"/>
            <a:t>CCU pathways are compared to the incumbent technologies in Figure 3. Avoided Emissions are calculated as follows:</a:t>
          </a:r>
        </a:p>
        <a:p>
          <a:endParaRPr lang="en-CA" sz="1600"/>
        </a:p>
        <a:p>
          <a:r>
            <a:rPr lang="en-CA" sz="1600"/>
            <a:t>Avoided Emissions = [(Net Incumbent per kg of product) - (Net CCU per kg of product)]</a:t>
          </a:r>
        </a:p>
        <a:p>
          <a:endParaRPr lang="en-CA" sz="1600"/>
        </a:p>
        <a:p>
          <a:r>
            <a:rPr lang="en-CA" sz="1600"/>
            <a:t>Thus, if Avoided Emissions result is positive, the CCU pathway has lower net emissions than the incumbent option.</a:t>
          </a:r>
        </a:p>
        <a:p>
          <a:endParaRPr lang="en-CA" sz="1600"/>
        </a:p>
        <a:p>
          <a:r>
            <a:rPr lang="en-CA" sz="1600"/>
            <a:t>The incumbent technology is one estimate of a conventional production method. Competitors were not considered. </a:t>
          </a:r>
        </a:p>
        <a:p>
          <a:r>
            <a:rPr lang="en-CA" sz="1600"/>
            <a:t>For consistency, the emission factors defined in the General Assumptions section are applied to the incumbent fuels. Importantly, even though it is possible to change the intensities of inputs for incumbents, the incumbent technology estimate does not cover the full range of possible technologies that CCU pathways will compete against in the future.</a:t>
          </a:r>
        </a:p>
      </xdr:txBody>
    </xdr:sp>
    <xdr:clientData/>
  </xdr:twoCellAnchor>
  <xdr:twoCellAnchor>
    <xdr:from>
      <xdr:col>40</xdr:col>
      <xdr:colOff>0</xdr:colOff>
      <xdr:row>98</xdr:row>
      <xdr:rowOff>0</xdr:rowOff>
    </xdr:from>
    <xdr:to>
      <xdr:col>46</xdr:col>
      <xdr:colOff>222300</xdr:colOff>
      <xdr:row>129</xdr:row>
      <xdr:rowOff>69850</xdr:rowOff>
    </xdr:to>
    <xdr:sp macro="" textlink="">
      <xdr:nvSpPr>
        <xdr:cNvPr id="94" name="TextBox 93">
          <a:extLst>
            <a:ext uri="{FF2B5EF4-FFF2-40B4-BE49-F238E27FC236}">
              <a16:creationId xmlns:a16="http://schemas.microsoft.com/office/drawing/2014/main" id="{00000000-0008-0000-0300-00005E000000}"/>
            </a:ext>
          </a:extLst>
        </xdr:cNvPr>
        <xdr:cNvSpPr txBox="1"/>
      </xdr:nvSpPr>
      <xdr:spPr>
        <a:xfrm>
          <a:off x="25101550" y="21640800"/>
          <a:ext cx="4680000" cy="6470650"/>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600"/>
            <a:t>The Global Emission Reduction Potential is an estimate of the amount of avoided emissions of a pathway multiplied by the potential market size of the pathway, as follows:</a:t>
          </a:r>
        </a:p>
        <a:p>
          <a:endParaRPr lang="en-CA" sz="1600"/>
        </a:p>
        <a:p>
          <a:r>
            <a:rPr lang="en-CA" sz="1600"/>
            <a:t>Global Emissions Reduction Potential = [Avoided Emissions per kg product] x [Market Size]</a:t>
          </a:r>
        </a:p>
        <a:p>
          <a:endParaRPr lang="en-CA" sz="1600"/>
        </a:p>
        <a:p>
          <a:r>
            <a:rPr lang="en-CA" sz="1600"/>
            <a:t>Pathways that do not result in reduction in emissions, are listed as zero.</a:t>
          </a:r>
        </a:p>
        <a:p>
          <a:endParaRPr lang="en-CA" sz="1600"/>
        </a:p>
        <a:p>
          <a:r>
            <a:rPr lang="en-CA" sz="1600"/>
            <a:t>The Market Size values used were based on 2015 markets. A market penetration rate of 50% was assumed. </a:t>
          </a:r>
        </a:p>
        <a:p>
          <a:endParaRPr lang="en-CA" sz="1600"/>
        </a:p>
        <a:p>
          <a:r>
            <a:rPr lang="en-CA" sz="1600"/>
            <a:t>This is an extremely rough estimate of the potential impact of the pathway in a global scale. Future work will employ more sophisticated modelling to estimate market size.</a:t>
          </a:r>
        </a:p>
        <a:p>
          <a:endParaRPr lang="en-CA" sz="1600"/>
        </a:p>
        <a:p>
          <a:endParaRPr lang="en-CA" sz="1600"/>
        </a:p>
      </xdr:txBody>
    </xdr:sp>
    <xdr:clientData/>
  </xdr:twoCellAnchor>
  <xdr:twoCellAnchor>
    <xdr:from>
      <xdr:col>40</xdr:col>
      <xdr:colOff>0</xdr:colOff>
      <xdr:row>3</xdr:row>
      <xdr:rowOff>317499</xdr:rowOff>
    </xdr:from>
    <xdr:to>
      <xdr:col>46</xdr:col>
      <xdr:colOff>222300</xdr:colOff>
      <xdr:row>38</xdr:row>
      <xdr:rowOff>292099</xdr:rowOff>
    </xdr:to>
    <xdr:sp macro="" textlink="">
      <xdr:nvSpPr>
        <xdr:cNvPr id="95" name="TextBox 94">
          <a:extLst>
            <a:ext uri="{FF2B5EF4-FFF2-40B4-BE49-F238E27FC236}">
              <a16:creationId xmlns:a16="http://schemas.microsoft.com/office/drawing/2014/main" id="{00000000-0008-0000-0300-00005F000000}"/>
            </a:ext>
          </a:extLst>
        </xdr:cNvPr>
        <xdr:cNvSpPr txBox="1"/>
      </xdr:nvSpPr>
      <xdr:spPr>
        <a:xfrm>
          <a:off x="25101550" y="1015999"/>
          <a:ext cx="4680000" cy="7797800"/>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600"/>
            <a:t>The metric of evaluation presented in  Figure 1 is kg CO</a:t>
          </a:r>
          <a:r>
            <a:rPr lang="en-CA" sz="1600" baseline="-25000"/>
            <a:t>2</a:t>
          </a:r>
          <a:r>
            <a:rPr lang="en-CA" sz="1600" baseline="0"/>
            <a:t>eq</a:t>
          </a:r>
          <a:r>
            <a:rPr lang="en-CA" sz="1600"/>
            <a:t> </a:t>
          </a:r>
          <a:r>
            <a:rPr lang="en-CA" sz="1600" baseline="0"/>
            <a:t>emitted</a:t>
          </a:r>
          <a:r>
            <a:rPr lang="en-CA" sz="1600"/>
            <a:t> per kgCO</a:t>
          </a:r>
          <a:r>
            <a:rPr lang="en-CA" sz="1600" baseline="-25000"/>
            <a:t>2</a:t>
          </a:r>
          <a:r>
            <a:rPr lang="en-CA" sz="1600"/>
            <a:t> converted.</a:t>
          </a:r>
          <a:r>
            <a:rPr lang="en-CA" sz="1600" baseline="0"/>
            <a:t> </a:t>
          </a:r>
        </a:p>
        <a:p>
          <a:endParaRPr lang="en-CA" sz="1600"/>
        </a:p>
        <a:p>
          <a:r>
            <a:rPr lang="en-CA" sz="1600"/>
            <a:t>This metric is useful to compare different CCU pathways and/or products in terms of CO</a:t>
          </a:r>
          <a:r>
            <a:rPr lang="en-CA" sz="1600" baseline="-25000"/>
            <a:t>2</a:t>
          </a:r>
          <a:r>
            <a:rPr lang="en-CA" sz="1600"/>
            <a:t> utilization. However, other metrics of comparison are needed such as per kg of product (see Figure 2).</a:t>
          </a:r>
        </a:p>
        <a:p>
          <a:endParaRPr lang="en-CA" sz="1600"/>
        </a:p>
        <a:p>
          <a:r>
            <a:rPr lang="en-CA" sz="1600"/>
            <a:t>Using default settings, all emission factors of all pathways are assumed to be the same and are set on the left-hand</a:t>
          </a:r>
          <a:r>
            <a:rPr lang="en-CA" sz="1600" baseline="0"/>
            <a:t> side of the Main Input &amp; Output tab. However, the intensity can be changed in the top panel (General Assumptions), and individual pathways can be changed below that section.</a:t>
          </a:r>
        </a:p>
        <a:p>
          <a:endParaRPr lang="en-CA" sz="1600" baseline="0"/>
        </a:p>
        <a:p>
          <a:r>
            <a:rPr lang="en-CA" sz="1600" baseline="0"/>
            <a:t>The legend entries are related to each life cycle phase:</a:t>
          </a:r>
        </a:p>
        <a:p>
          <a:r>
            <a:rPr lang="en-CA" sz="1600" baseline="0"/>
            <a:t>- CO</a:t>
          </a:r>
          <a:r>
            <a:rPr lang="en-CA" sz="1600" baseline="-25000"/>
            <a:t>2</a:t>
          </a:r>
          <a:r>
            <a:rPr lang="en-CA" sz="1600" baseline="0"/>
            <a:t> Converted: CO</a:t>
          </a:r>
          <a:r>
            <a:rPr lang="en-CA" sz="1600" baseline="-25000"/>
            <a:t>2</a:t>
          </a:r>
          <a:r>
            <a:rPr lang="en-CA" sz="1600" baseline="0"/>
            <a:t> that is converted in each pathway. This value is held constant at -1 in Figure 1.</a:t>
          </a:r>
        </a:p>
        <a:p>
          <a:r>
            <a:rPr lang="en-CA" sz="1600" baseline="0"/>
            <a:t>- CO</a:t>
          </a:r>
          <a:r>
            <a:rPr lang="en-CA" sz="1600" baseline="-25000">
              <a:solidFill>
                <a:schemeClr val="dk1"/>
              </a:solidFill>
              <a:latin typeface="+mn-lt"/>
              <a:ea typeface="+mn-ea"/>
              <a:cs typeface="+mn-cs"/>
            </a:rPr>
            <a:t>2</a:t>
          </a:r>
          <a:r>
            <a:rPr lang="en-CA" sz="1600" baseline="0"/>
            <a:t> Capture Process: emissions associated with capturing the CO</a:t>
          </a:r>
          <a:r>
            <a:rPr lang="en-CA" sz="1600" baseline="-25000">
              <a:solidFill>
                <a:schemeClr val="dk1"/>
              </a:solidFill>
              <a:latin typeface="+mn-lt"/>
              <a:ea typeface="+mn-ea"/>
              <a:cs typeface="+mn-cs"/>
            </a:rPr>
            <a:t>2</a:t>
          </a:r>
          <a:r>
            <a:rPr lang="en-CA" sz="1600" baseline="0"/>
            <a:t> necessary for each pathway.</a:t>
          </a:r>
        </a:p>
        <a:p>
          <a:r>
            <a:rPr lang="en-CA" sz="1600" baseline="0"/>
            <a:t>- Electrolysis: emissions of the electrolysis process for hydrogen production in the CO</a:t>
          </a:r>
          <a:r>
            <a:rPr lang="en-CA" sz="1600" baseline="-25000">
              <a:solidFill>
                <a:schemeClr val="dk1"/>
              </a:solidFill>
              <a:latin typeface="+mn-lt"/>
              <a:ea typeface="+mn-ea"/>
              <a:cs typeface="+mn-cs"/>
            </a:rPr>
            <a:t>2</a:t>
          </a:r>
          <a:r>
            <a:rPr lang="en-CA" sz="1600" baseline="0"/>
            <a:t> Reduction Involving Electricity pathway.</a:t>
          </a:r>
        </a:p>
        <a:p>
          <a:r>
            <a:rPr lang="en-CA" sz="1600" baseline="0"/>
            <a:t>- CO</a:t>
          </a:r>
          <a:r>
            <a:rPr lang="en-CA" sz="1600" baseline="-25000">
              <a:solidFill>
                <a:schemeClr val="dk1"/>
              </a:solidFill>
              <a:latin typeface="+mn-lt"/>
              <a:ea typeface="+mn-ea"/>
              <a:cs typeface="+mn-cs"/>
            </a:rPr>
            <a:t>2</a:t>
          </a:r>
          <a:r>
            <a:rPr lang="en-CA" sz="1600" baseline="0"/>
            <a:t> Conversion Process: emissions associated with the CO</a:t>
          </a:r>
          <a:r>
            <a:rPr lang="en-CA" sz="1600" baseline="-25000">
              <a:solidFill>
                <a:schemeClr val="dk1"/>
              </a:solidFill>
              <a:latin typeface="+mn-lt"/>
              <a:ea typeface="+mn-ea"/>
              <a:cs typeface="+mn-cs"/>
            </a:rPr>
            <a:t>2</a:t>
          </a:r>
          <a:r>
            <a:rPr lang="en-CA" sz="1600" baseline="0"/>
            <a:t> conversion step.</a:t>
          </a:r>
        </a:p>
        <a:p>
          <a:r>
            <a:rPr lang="en-CA" sz="1600" baseline="0"/>
            <a:t>- End Use: emissions related to the use phase of each end product.</a:t>
          </a:r>
        </a:p>
        <a:p>
          <a:r>
            <a:rPr lang="en-CA" sz="1600" baseline="0"/>
            <a:t>- Net: net emissions of each pathway - summation of the emissions of all life cycle phases.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22</xdr:col>
      <xdr:colOff>127000</xdr:colOff>
      <xdr:row>16</xdr:row>
      <xdr:rowOff>6350</xdr:rowOff>
    </xdr:from>
    <xdr:to>
      <xdr:col>26</xdr:col>
      <xdr:colOff>0</xdr:colOff>
      <xdr:row>24</xdr:row>
      <xdr:rowOff>63500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3627100" y="3016250"/>
          <a:ext cx="2286000" cy="1530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The</a:t>
          </a:r>
          <a:r>
            <a:rPr lang="en-CA" sz="1100" baseline="0"/>
            <a:t> kg CO</a:t>
          </a:r>
          <a:r>
            <a:rPr lang="en-CA" sz="1100" baseline="-25000"/>
            <a:t>2</a:t>
          </a:r>
          <a:r>
            <a:rPr lang="en-CA" sz="1100" baseline="0"/>
            <a:t>eq/MJ Product column is currently not shown in the Results Dashboard. However, it is possible to substitute the kg CO</a:t>
          </a:r>
          <a:r>
            <a:rPr lang="en-CA" sz="1100" baseline="-25000">
              <a:solidFill>
                <a:schemeClr val="dk1"/>
              </a:solidFill>
              <a:latin typeface="+mn-lt"/>
              <a:ea typeface="+mn-ea"/>
              <a:cs typeface="+mn-cs"/>
            </a:rPr>
            <a:t>2 </a:t>
          </a:r>
          <a:r>
            <a:rPr lang="en-CA" sz="1100" baseline="0"/>
            <a:t>eq/kg Product by kg CO</a:t>
          </a:r>
          <a:r>
            <a:rPr lang="en-CA" sz="1100" baseline="-25000">
              <a:solidFill>
                <a:schemeClr val="dk1"/>
              </a:solidFill>
              <a:latin typeface="+mn-lt"/>
              <a:ea typeface="+mn-ea"/>
              <a:cs typeface="+mn-cs"/>
            </a:rPr>
            <a:t>2</a:t>
          </a:r>
          <a:r>
            <a:rPr lang="en-CA" sz="1100" baseline="0"/>
            <a:t>eq/MJ Product in the Auxiliary table starting in cell AK16, which is the source of Figure 2.</a:t>
          </a:r>
          <a:endParaRPr lang="en-CA"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22</xdr:col>
      <xdr:colOff>101600</xdr:colOff>
      <xdr:row>16</xdr:row>
      <xdr:rowOff>12700</xdr:rowOff>
    </xdr:from>
    <xdr:to>
      <xdr:col>25</xdr:col>
      <xdr:colOff>463550</xdr:colOff>
      <xdr:row>24</xdr:row>
      <xdr:rowOff>177800</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3792200" y="2997200"/>
          <a:ext cx="2286000"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The</a:t>
          </a:r>
          <a:r>
            <a:rPr lang="en-CA" sz="1100" baseline="0"/>
            <a:t> kg CO</a:t>
          </a:r>
          <a:r>
            <a:rPr lang="en-CA" sz="1100" baseline="-25000"/>
            <a:t>2</a:t>
          </a:r>
          <a:r>
            <a:rPr lang="en-CA" sz="1100" baseline="0"/>
            <a:t>eq/MJ Product column is currently not shown in the Results Dashboard. However, it is possible to substitute the kg CO</a:t>
          </a:r>
          <a:r>
            <a:rPr lang="en-CA" sz="1100" baseline="-25000">
              <a:solidFill>
                <a:schemeClr val="dk1"/>
              </a:solidFill>
              <a:latin typeface="+mn-lt"/>
              <a:ea typeface="+mn-ea"/>
              <a:cs typeface="+mn-cs"/>
            </a:rPr>
            <a:t>2</a:t>
          </a:r>
          <a:r>
            <a:rPr lang="en-CA" sz="1100" baseline="0"/>
            <a:t>eq/kg Product by kg CO</a:t>
          </a:r>
          <a:r>
            <a:rPr lang="en-CA" sz="1100" baseline="-25000">
              <a:solidFill>
                <a:schemeClr val="dk1"/>
              </a:solidFill>
              <a:latin typeface="+mn-lt"/>
              <a:ea typeface="+mn-ea"/>
              <a:cs typeface="+mn-cs"/>
            </a:rPr>
            <a:t>2</a:t>
          </a:r>
          <a:r>
            <a:rPr lang="en-CA" sz="1100" baseline="0"/>
            <a:t>eq/MJ Product in the Auxiliary table starting in cell AK14, which is the source of Figure 2.</a:t>
          </a:r>
          <a:endParaRPr lang="en-CA"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22</xdr:col>
      <xdr:colOff>101600</xdr:colOff>
      <xdr:row>16</xdr:row>
      <xdr:rowOff>6350</xdr:rowOff>
    </xdr:from>
    <xdr:to>
      <xdr:col>27</xdr:col>
      <xdr:colOff>565150</xdr:colOff>
      <xdr:row>25</xdr:row>
      <xdr:rowOff>47625</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13605933" y="3006725"/>
          <a:ext cx="2283884" cy="170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The</a:t>
          </a:r>
          <a:r>
            <a:rPr lang="en-CA" sz="1100" baseline="0"/>
            <a:t> kg CO</a:t>
          </a:r>
          <a:r>
            <a:rPr lang="en-CA" sz="1100" baseline="-25000"/>
            <a:t>2</a:t>
          </a:r>
          <a:r>
            <a:rPr lang="en-CA" sz="1100" baseline="0"/>
            <a:t>eq/MJ Product column is currently not shown in the Results Dashboard. However, it is possible to substitute the kg CO</a:t>
          </a:r>
          <a:r>
            <a:rPr lang="en-CA" sz="1100" baseline="-25000">
              <a:solidFill>
                <a:schemeClr val="dk1"/>
              </a:solidFill>
              <a:latin typeface="+mn-lt"/>
              <a:ea typeface="+mn-ea"/>
              <a:cs typeface="+mn-cs"/>
            </a:rPr>
            <a:t>2</a:t>
          </a:r>
          <a:r>
            <a:rPr lang="en-CA" sz="1100" baseline="0"/>
            <a:t>eq/kg Product by kg CO</a:t>
          </a:r>
          <a:r>
            <a:rPr lang="en-CA" sz="1100" baseline="-25000">
              <a:solidFill>
                <a:schemeClr val="dk1"/>
              </a:solidFill>
              <a:latin typeface="+mn-lt"/>
              <a:ea typeface="+mn-ea"/>
              <a:cs typeface="+mn-cs"/>
            </a:rPr>
            <a:t>2</a:t>
          </a:r>
          <a:r>
            <a:rPr lang="en-CA" sz="1100" baseline="0"/>
            <a:t>eq/MJ Product in the Auxiliary table starting in cell AK14, which is the source of Figure 2.</a:t>
          </a:r>
          <a:endParaRPr lang="en-CA"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22</xdr:col>
      <xdr:colOff>146050</xdr:colOff>
      <xdr:row>16</xdr:row>
      <xdr:rowOff>12700</xdr:rowOff>
    </xdr:from>
    <xdr:to>
      <xdr:col>25</xdr:col>
      <xdr:colOff>584200</xdr:colOff>
      <xdr:row>24</xdr:row>
      <xdr:rowOff>179916</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3862050" y="3044825"/>
          <a:ext cx="2279650" cy="16488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The</a:t>
          </a:r>
          <a:r>
            <a:rPr lang="en-CA" sz="1100" baseline="0"/>
            <a:t> kg CO</a:t>
          </a:r>
          <a:r>
            <a:rPr lang="en-CA" sz="1100" baseline="-25000"/>
            <a:t>2</a:t>
          </a:r>
          <a:r>
            <a:rPr lang="en-CA" sz="1100" baseline="0"/>
            <a:t>eq/MJ Product column is currently not shown in the Results Dashboard. However, it is possible to substitute the kg CO</a:t>
          </a:r>
          <a:r>
            <a:rPr lang="en-CA" sz="1100" baseline="-25000">
              <a:solidFill>
                <a:schemeClr val="dk1"/>
              </a:solidFill>
              <a:latin typeface="+mn-lt"/>
              <a:ea typeface="+mn-ea"/>
              <a:cs typeface="+mn-cs"/>
            </a:rPr>
            <a:t>2</a:t>
          </a:r>
          <a:r>
            <a:rPr lang="en-CA" sz="1100" baseline="0"/>
            <a:t>eq/kg Product by kg CO</a:t>
          </a:r>
          <a:r>
            <a:rPr lang="en-CA" sz="1100" baseline="-25000">
              <a:solidFill>
                <a:schemeClr val="dk1"/>
              </a:solidFill>
              <a:latin typeface="+mn-lt"/>
              <a:ea typeface="+mn-ea"/>
              <a:cs typeface="+mn-cs"/>
            </a:rPr>
            <a:t>2</a:t>
          </a:r>
          <a:r>
            <a:rPr lang="en-CA" sz="1100" baseline="0"/>
            <a:t>eq/MJ Product in the Auxiliary table starting in cell AK14, which is the source of figure 2.</a:t>
          </a:r>
          <a:endParaRPr lang="en-CA"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19</xdr:col>
      <xdr:colOff>184150</xdr:colOff>
      <xdr:row>15</xdr:row>
      <xdr:rowOff>177800</xdr:rowOff>
    </xdr:from>
    <xdr:to>
      <xdr:col>27</xdr:col>
      <xdr:colOff>590550</xdr:colOff>
      <xdr:row>19</xdr:row>
      <xdr:rowOff>101600</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11849100" y="3067050"/>
          <a:ext cx="5384800" cy="660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The</a:t>
          </a:r>
          <a:r>
            <a:rPr lang="en-CA" sz="1100" baseline="0"/>
            <a:t> kg CO</a:t>
          </a:r>
          <a:r>
            <a:rPr lang="en-CA" sz="1100" baseline="-25000"/>
            <a:t>2</a:t>
          </a:r>
          <a:r>
            <a:rPr lang="en-CA" sz="1100" baseline="0"/>
            <a:t>eq/MJ Product column is currently not shown in the Results Dashboard. However, it is possible to substitute the k gCO</a:t>
          </a:r>
          <a:r>
            <a:rPr lang="en-CA" sz="1100" baseline="-25000">
              <a:solidFill>
                <a:schemeClr val="dk1"/>
              </a:solidFill>
              <a:latin typeface="+mn-lt"/>
              <a:ea typeface="+mn-ea"/>
              <a:cs typeface="+mn-cs"/>
            </a:rPr>
            <a:t>2</a:t>
          </a:r>
          <a:r>
            <a:rPr lang="en-CA" sz="1100" baseline="0"/>
            <a:t>eq/kg Product by kg CO</a:t>
          </a:r>
          <a:r>
            <a:rPr lang="en-CA" sz="1100" baseline="-25000">
              <a:solidFill>
                <a:schemeClr val="dk1"/>
              </a:solidFill>
              <a:latin typeface="+mn-lt"/>
              <a:ea typeface="+mn-ea"/>
              <a:cs typeface="+mn-cs"/>
            </a:rPr>
            <a:t>2</a:t>
          </a:r>
          <a:r>
            <a:rPr lang="en-CA" sz="1100" baseline="0"/>
            <a:t> eq/MJ Product in the Auxiliary table starting in cell AK11, which is the source of Figure 2.</a:t>
          </a:r>
          <a:endParaRPr lang="en-CA"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17</xdr:col>
      <xdr:colOff>613832</xdr:colOff>
      <xdr:row>28</xdr:row>
      <xdr:rowOff>0</xdr:rowOff>
    </xdr:from>
    <xdr:to>
      <xdr:col>24</xdr:col>
      <xdr:colOff>606777</xdr:colOff>
      <xdr:row>32</xdr:row>
      <xdr:rowOff>7056</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12650610" y="5249333"/>
          <a:ext cx="4282723" cy="7408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These end</a:t>
          </a:r>
          <a:r>
            <a:rPr lang="en-CA" sz="1100" baseline="0"/>
            <a:t> use values were modeled differently and it is not possible to include the calculations in this spreadsheet. Thus, static results are referenced and depend on the electricity emission factor.</a:t>
          </a:r>
          <a:endParaRPr lang="en-CA"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20</xdr:col>
      <xdr:colOff>31750</xdr:colOff>
      <xdr:row>15</xdr:row>
      <xdr:rowOff>19050</xdr:rowOff>
    </xdr:from>
    <xdr:to>
      <xdr:col>29</xdr:col>
      <xdr:colOff>228600</xdr:colOff>
      <xdr:row>27</xdr:row>
      <xdr:rowOff>44450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2611100" y="2806700"/>
          <a:ext cx="5683250" cy="2235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In this section, the emissions of the production of fuels, were broken down and the emissions from</a:t>
          </a:r>
          <a:r>
            <a:rPr lang="en-CA" sz="1100" baseline="0"/>
            <a:t> electricity/hydrogen/heat were isolated from the rest in order to apply the same emission factors selected by the user in General Assumptions (in the Main Input &amp; Output tab).</a:t>
          </a:r>
        </a:p>
        <a:p>
          <a:endParaRPr lang="en-CA" sz="1100"/>
        </a:p>
        <a:p>
          <a:r>
            <a:rPr lang="en-CA" sz="1100"/>
            <a:t>In the</a:t>
          </a:r>
          <a:r>
            <a:rPr lang="en-CA" sz="1100" baseline="0"/>
            <a:t> calculation of incumbents emissions of fuels, the boundaries were kept consistent with those for the CCU technologies, i.e. distribution and storage were not included in the fixed production emissions and the combustion was assumed to take place at the gate.</a:t>
          </a:r>
        </a:p>
        <a:p>
          <a:endParaRPr lang="en-CA" sz="1100" baseline="0"/>
        </a:p>
        <a:p>
          <a:r>
            <a:rPr lang="en-CA" sz="1100" baseline="0"/>
            <a:t>For methane, natural gas was considered a proxy, since the incumbent technology chosen was methane production from natural gas extraction. </a:t>
          </a:r>
        </a:p>
        <a:p>
          <a:endParaRPr lang="en-CA" sz="1100" baseline="0"/>
        </a:p>
        <a:p>
          <a:r>
            <a:rPr lang="en-CA" sz="1100" baseline="0"/>
            <a:t>The details of calculations may be found in the Documentation.</a:t>
          </a:r>
          <a:endParaRPr lang="en-CA"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ofc-my.sharepoint.com/personal/emily_nishikawa1_ucalgary_ca/Documents/UofC%20PhD/Tool%20for%20the%20summer/Pathway%20SOEC/LCA-Emily%20-%20Shamiul%20spreadsheet.xlsx"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t LCA Results"/>
      <sheetName val="Energy Params"/>
      <sheetName val="Emission Factors"/>
    </sheetNames>
    <sheetDataSet>
      <sheetData sheetId="0"/>
      <sheetData sheetId="1">
        <row r="7">
          <cell r="D7">
            <v>52.225000000000001</v>
          </cell>
        </row>
        <row r="26">
          <cell r="C26">
            <v>1.0549999999999999</v>
          </cell>
        </row>
      </sheetData>
      <sheetData sheetId="2">
        <row r="30">
          <cell r="C30">
            <v>3.2301754499060187</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mily Nishikawa" refreshedDate="43792.580785300925" createdVersion="6" refreshedVersion="6" minRefreshableVersion="3" recordCount="14" xr:uid="{659B7B69-5022-4444-B5D3-DD47828F9CE3}">
  <cacheSource type="worksheet">
    <worksheetSource ref="AJ5:AS19" sheet="Summary Table"/>
  </cacheSource>
  <cacheFields count="10">
    <cacheField name="Category" numFmtId="0">
      <sharedItems count="5">
        <s v="CO2 Reduction involving Electricity"/>
        <s v="CO2 Reduction by Hydrocarbon"/>
        <s v="CO2Reduction by Hydrogen"/>
        <s v="CO2 Reduction Involving Light"/>
        <s v="CO2 Mineralization" u="1"/>
      </sharedItems>
    </cacheField>
    <cacheField name="Sub-Category" numFmtId="0">
      <sharedItems count="12">
        <s v="SOEC-CO"/>
        <s v="SOEC-EL"/>
        <s v="DMR - CO"/>
        <s v="DMR - H2"/>
        <s v="D-H2"/>
        <s v="P.CAT"/>
        <s v="DMC-O" u="1"/>
        <s v="SOEC-EL/PEM" u="1"/>
        <s v="DMC-S" u="1"/>
        <s v="IMC-S" u="1"/>
        <s v="WMC" u="1"/>
        <s v="DMC-W" u="1"/>
      </sharedItems>
    </cacheField>
    <cacheField name="Product" numFmtId="0">
      <sharedItems count="7">
        <s v="Methane"/>
        <s v="Methanol"/>
        <s v="Diesel"/>
        <s v="Ethanol"/>
        <s v="Magnesite" u="1"/>
        <s v="CWM" u="1"/>
        <s v="Calcite" u="1"/>
      </sharedItems>
    </cacheField>
    <cacheField name="CO2 Captured" numFmtId="164">
      <sharedItems containsSemiMixedTypes="0" containsString="0" containsNumber="1" minValue="-0.10239728167204044" maxValue="-4.6313888568776954E-2"/>
    </cacheField>
    <cacheField name="CO2 Capture Process" numFmtId="164">
      <sharedItems containsSemiMixedTypes="0" containsString="0" containsNumber="1" minValue="3.3224404838150213E-4" maxValue="7.3051767104702532E-4"/>
    </cacheField>
    <cacheField name="Electrolysis" numFmtId="164">
      <sharedItems containsSemiMixedTypes="0" containsString="0" containsNumber="1" minValue="0" maxValue="1.4818660028745384E-2"/>
    </cacheField>
    <cacheField name="CO2 Conversion" numFmtId="164">
      <sharedItems containsSemiMixedTypes="0" containsString="0" containsNumber="1" minValue="0" maxValue="0.2428936557813883"/>
    </cacheField>
    <cacheField name="End Use" numFmtId="164">
      <sharedItems containsSemiMixedTypes="0" containsString="0" containsNumber="1" minValue="5.5E-2" maxValue="7.3059981039147223E-2"/>
    </cacheField>
    <cacheField name="Net" numFmtId="164">
      <sharedItems containsSemiMixedTypes="0" containsString="0" containsNumber="1" minValue="1.5280290907154666E-2" maxValue="0.20928488241036552"/>
    </cacheField>
    <cacheField name="Incumbent " numFmtId="0">
      <sharedItems containsSemiMixedTypes="0" containsString="0" containsNumber="1" minValue="6.0999999999999999E-2" maxValue="9.6000000000000002E-2"/>
    </cacheField>
  </cacheFields>
  <extLst>
    <ext xmlns:x14="http://schemas.microsoft.com/office/spreadsheetml/2009/9/main" uri="{725AE2AE-9491-48be-B2B4-4EB974FC3084}">
      <x14:pivotCacheDefinition pivotCacheId="197749892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
  <r>
    <x v="0"/>
    <x v="0"/>
    <x v="0"/>
    <n v="-5.5439999999999996E-2"/>
    <n v="4.3119999999999996E-4"/>
    <n v="9.440913417721521E-3"/>
    <n v="1.056E-2"/>
    <n v="5.5E-2"/>
    <n v="1.9992113417721523E-2"/>
    <n v="6.0999999999999999E-2"/>
  </r>
  <r>
    <x v="0"/>
    <x v="0"/>
    <x v="1"/>
    <n v="-6.8975813675724085E-2"/>
    <n v="5.3647855081118741E-4"/>
    <n v="8.6853207645584737E-3"/>
    <n v="4.9965163730466805E-2"/>
    <n v="6.805799062997063E-2"/>
    <n v="5.8269140000083007E-2"/>
    <n v="7.0000000000000007E-2"/>
  </r>
  <r>
    <x v="0"/>
    <x v="0"/>
    <x v="2"/>
    <n v="-7.3711471315929408E-2"/>
    <n v="5.733114435683399E-4"/>
    <n v="9.281626968783669E-3"/>
    <n v="3.8250052026730173E-2"/>
    <n v="7.1912502601336512E-2"/>
    <n v="4.6306021724489284E-2"/>
    <n v="9.6000000000000002E-2"/>
  </r>
  <r>
    <x v="0"/>
    <x v="0"/>
    <x v="3"/>
    <n v="-7.0948633619756452E-2"/>
    <n v="4.6163087840927792E-4"/>
    <n v="1.4818660028745384E-2"/>
    <n v="0"/>
    <n v="7.0948633619756452E-2"/>
    <n v="1.5280290907154666E-2"/>
    <n v="7.7560000000000004E-2"/>
  </r>
  <r>
    <x v="0"/>
    <x v="1"/>
    <x v="0"/>
    <n v="-5.5E-2"/>
    <n v="4.2777777777777774E-4"/>
    <n v="1.0233600000000001E-2"/>
    <n v="6.2719111111111114E-3"/>
    <n v="5.5E-2"/>
    <n v="1.6933288888888891E-2"/>
    <n v="6.0999999999999999E-2"/>
  </r>
  <r>
    <x v="0"/>
    <x v="1"/>
    <x v="1"/>
    <n v="-6.837862048372649E-2"/>
    <n v="5.3183371487342825E-4"/>
    <n v="9.2553000895789789E-3"/>
    <n v="9.1156895922497611E-3"/>
    <n v="6.805799062997063E-2"/>
    <n v="1.858219354294631E-2"/>
    <n v="7.0000000000000007E-2"/>
  </r>
  <r>
    <x v="0"/>
    <x v="1"/>
    <x v="2"/>
    <n v="-7.0000000000000007E-2"/>
    <n v="5.4444444444444451E-4"/>
    <n v="1.02144E-2"/>
    <n v="3.7777777777777778E-2"/>
    <n v="7.1912502601336512E-2"/>
    <n v="5.0449124823558726E-2"/>
    <n v="9.6000000000000002E-2"/>
  </r>
  <r>
    <x v="1"/>
    <x v="2"/>
    <x v="1"/>
    <n v="-0.10239728167204044"/>
    <n v="7.3051767104702532E-4"/>
    <n v="0"/>
    <n v="0.2428936557813883"/>
    <n v="6.805799062997063E-2"/>
    <n v="0.20928488241036552"/>
    <n v="7.0000000000000007E-2"/>
  </r>
  <r>
    <x v="1"/>
    <x v="3"/>
    <x v="1"/>
    <n v="-4.6313888568776954E-2"/>
    <n v="3.3224404838150213E-4"/>
    <n v="4.4613844343350945E-3"/>
    <n v="5.7631466626866336E-2"/>
    <n v="6.805799062997063E-2"/>
    <n v="8.4169197170776616E-2"/>
    <n v="7.0000000000000007E-2"/>
  </r>
  <r>
    <x v="2"/>
    <x v="4"/>
    <x v="0"/>
    <n v="-5.5E-2"/>
    <n v="4.2777777777777774E-4"/>
    <n v="0"/>
    <n v="1.6505511111111114E-2"/>
    <n v="5.5E-2"/>
    <n v="1.6933288888888891E-2"/>
    <n v="6.0999999999999999E-2"/>
  </r>
  <r>
    <x v="2"/>
    <x v="4"/>
    <x v="1"/>
    <n v="-6.8190006967253899E-2"/>
    <n v="5.0860953518463222E-4"/>
    <n v="0"/>
    <n v="3.7468536865950912E-2"/>
    <n v="6.805799062997063E-2"/>
    <n v="3.7845130063852268E-2"/>
    <n v="7.0000000000000007E-2"/>
  </r>
  <r>
    <x v="2"/>
    <x v="4"/>
    <x v="2"/>
    <n v="-7.3059981039147223E-2"/>
    <n v="5.6824429697114492E-4"/>
    <n v="0"/>
    <n v="4.7864602040475504E-2"/>
    <n v="7.3059981039147223E-2"/>
    <n v="4.8432846337446656E-2"/>
    <n v="9.6000000000000002E-2"/>
  </r>
  <r>
    <x v="3"/>
    <x v="5"/>
    <x v="0"/>
    <n v="-5.5E-2"/>
    <n v="4.8999999999999998E-4"/>
    <n v="0"/>
    <n v="1.5503783818852611E-2"/>
    <n v="5.5E-2"/>
    <n v="1.5993783818852608E-2"/>
    <n v="6.0999999999999999E-2"/>
  </r>
  <r>
    <x v="3"/>
    <x v="5"/>
    <x v="1"/>
    <n v="-6.8428386583059622E-2"/>
    <n v="5.5937382563309406E-4"/>
    <n v="0"/>
    <n v="3.4573076946933172E-2"/>
    <n v="6.805799062997063E-2"/>
    <n v="3.4762054819477271E-2"/>
    <n v="7.0000000000000007E-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A3D2B0E-5F20-4976-AB7F-7BDAC55BDE97}" name="PivotTable2" cacheId="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U5:BB30" firstHeaderRow="0" firstDataRow="1" firstDataCol="1"/>
  <pivotFields count="10">
    <pivotField axis="axisRow" showAll="0">
      <items count="6">
        <item x="1"/>
        <item x="0"/>
        <item x="2"/>
        <item x="3"/>
        <item m="1" x="4"/>
        <item t="default"/>
      </items>
    </pivotField>
    <pivotField axis="axisRow" showAll="0">
      <items count="13">
        <item x="2"/>
        <item x="3"/>
        <item x="0"/>
        <item m="1" x="7"/>
        <item x="4"/>
        <item x="5"/>
        <item x="1"/>
        <item m="1" x="10"/>
        <item m="1" x="11"/>
        <item m="1" x="8"/>
        <item m="1" x="9"/>
        <item m="1" x="6"/>
        <item t="default"/>
      </items>
    </pivotField>
    <pivotField axis="axisRow" showAll="0">
      <items count="8">
        <item x="2"/>
        <item x="3"/>
        <item x="0"/>
        <item x="1"/>
        <item m="1" x="5"/>
        <item m="1" x="6"/>
        <item m="1" x="4"/>
        <item t="default"/>
      </items>
    </pivotField>
    <pivotField dataField="1" showAll="0"/>
    <pivotField dataField="1" showAll="0"/>
    <pivotField dataField="1" showAll="0"/>
    <pivotField dataField="1" showAll="0"/>
    <pivotField dataField="1" showAll="0"/>
    <pivotField dataField="1" showAll="0"/>
    <pivotField dataField="1" showAll="0"/>
  </pivotFields>
  <rowFields count="3">
    <field x="0"/>
    <field x="1"/>
    <field x="2"/>
  </rowFields>
  <rowItems count="25">
    <i>
      <x/>
    </i>
    <i r="1">
      <x/>
    </i>
    <i r="2">
      <x v="3"/>
    </i>
    <i r="1">
      <x v="1"/>
    </i>
    <i r="2">
      <x v="3"/>
    </i>
    <i>
      <x v="1"/>
    </i>
    <i r="1">
      <x v="2"/>
    </i>
    <i r="2">
      <x/>
    </i>
    <i r="2">
      <x v="1"/>
    </i>
    <i r="2">
      <x v="2"/>
    </i>
    <i r="2">
      <x v="3"/>
    </i>
    <i r="1">
      <x v="6"/>
    </i>
    <i r="2">
      <x/>
    </i>
    <i r="2">
      <x v="2"/>
    </i>
    <i r="2">
      <x v="3"/>
    </i>
    <i>
      <x v="2"/>
    </i>
    <i r="1">
      <x v="4"/>
    </i>
    <i r="2">
      <x/>
    </i>
    <i r="2">
      <x v="2"/>
    </i>
    <i r="2">
      <x v="3"/>
    </i>
    <i>
      <x v="3"/>
    </i>
    <i r="1">
      <x v="5"/>
    </i>
    <i r="2">
      <x v="2"/>
    </i>
    <i r="2">
      <x v="3"/>
    </i>
    <i t="grand">
      <x/>
    </i>
  </rowItems>
  <colFields count="1">
    <field x="-2"/>
  </colFields>
  <colItems count="7">
    <i>
      <x/>
    </i>
    <i i="1">
      <x v="1"/>
    </i>
    <i i="2">
      <x v="2"/>
    </i>
    <i i="3">
      <x v="3"/>
    </i>
    <i i="4">
      <x v="4"/>
    </i>
    <i i="5">
      <x v="5"/>
    </i>
    <i i="6">
      <x v="6"/>
    </i>
  </colItems>
  <dataFields count="7">
    <dataField name="CO2 Captured " fld="3" baseField="0" baseItem="0"/>
    <dataField name="CO2 Capture Process " fld="4" baseField="0" baseItem="0"/>
    <dataField name="Electrolysis " fld="5" baseField="0" baseItem="0"/>
    <dataField name="CO2 Conversion " fld="6" baseField="0" baseItem="0"/>
    <dataField name="End Use " fld="7" baseField="0" baseItem="0"/>
    <dataField name="Net " fld="8" baseField="0" baseItem="0"/>
    <dataField name="Incumbent  " fld="9" baseField="0" baseItem="2"/>
  </dataFields>
  <formats count="16">
    <format dxfId="15">
      <pivotArea type="all" dataOnly="0" outline="0" fieldPosition="0"/>
    </format>
    <format dxfId="14">
      <pivotArea outline="0" collapsedLevelsAreSubtotals="1" fieldPosition="0"/>
    </format>
    <format dxfId="13">
      <pivotArea field="0" type="button" dataOnly="0" labelOnly="1" outline="0" axis="axisRow" fieldPosition="0"/>
    </format>
    <format dxfId="12">
      <pivotArea dataOnly="0" labelOnly="1" fieldPosition="0">
        <references count="1">
          <reference field="0" count="0"/>
        </references>
      </pivotArea>
    </format>
    <format dxfId="11">
      <pivotArea dataOnly="0" labelOnly="1" grandRow="1" outline="0" fieldPosition="0"/>
    </format>
    <format dxfId="10">
      <pivotArea dataOnly="0" labelOnly="1" fieldPosition="0">
        <references count="2">
          <reference field="0" count="1" selected="0">
            <x v="0"/>
          </reference>
          <reference field="1" count="2">
            <x v="0"/>
            <x v="1"/>
          </reference>
        </references>
      </pivotArea>
    </format>
    <format dxfId="9">
      <pivotArea dataOnly="0" labelOnly="1" fieldPosition="0">
        <references count="2">
          <reference field="0" count="1" selected="0">
            <x v="1"/>
          </reference>
          <reference field="1" count="2">
            <x v="2"/>
            <x v="6"/>
          </reference>
        </references>
      </pivotArea>
    </format>
    <format dxfId="8">
      <pivotArea dataOnly="0" labelOnly="1" fieldPosition="0">
        <references count="2">
          <reference field="0" count="1" selected="0">
            <x v="2"/>
          </reference>
          <reference field="1" count="1">
            <x v="4"/>
          </reference>
        </references>
      </pivotArea>
    </format>
    <format dxfId="7">
      <pivotArea dataOnly="0" labelOnly="1" fieldPosition="0">
        <references count="2">
          <reference field="0" count="1" selected="0">
            <x v="3"/>
          </reference>
          <reference field="1" count="1">
            <x v="5"/>
          </reference>
        </references>
      </pivotArea>
    </format>
    <format dxfId="6">
      <pivotArea dataOnly="0" labelOnly="1" fieldPosition="0">
        <references count="3">
          <reference field="0" count="1" selected="0">
            <x v="0"/>
          </reference>
          <reference field="1" count="1" selected="0">
            <x v="0"/>
          </reference>
          <reference field="2" count="1">
            <x v="3"/>
          </reference>
        </references>
      </pivotArea>
    </format>
    <format dxfId="5">
      <pivotArea dataOnly="0" labelOnly="1" fieldPosition="0">
        <references count="3">
          <reference field="0" count="1" selected="0">
            <x v="0"/>
          </reference>
          <reference field="1" count="1" selected="0">
            <x v="1"/>
          </reference>
          <reference field="2" count="1">
            <x v="3"/>
          </reference>
        </references>
      </pivotArea>
    </format>
    <format dxfId="4">
      <pivotArea dataOnly="0" labelOnly="1" fieldPosition="0">
        <references count="3">
          <reference field="0" count="1" selected="0">
            <x v="1"/>
          </reference>
          <reference field="1" count="1" selected="0">
            <x v="2"/>
          </reference>
          <reference field="2" count="0"/>
        </references>
      </pivotArea>
    </format>
    <format dxfId="3">
      <pivotArea dataOnly="0" labelOnly="1" fieldPosition="0">
        <references count="3">
          <reference field="0" count="1" selected="0">
            <x v="1"/>
          </reference>
          <reference field="1" count="1" selected="0">
            <x v="6"/>
          </reference>
          <reference field="2" count="3">
            <x v="0"/>
            <x v="2"/>
            <x v="3"/>
          </reference>
        </references>
      </pivotArea>
    </format>
    <format dxfId="2">
      <pivotArea dataOnly="0" labelOnly="1" fieldPosition="0">
        <references count="3">
          <reference field="0" count="1" selected="0">
            <x v="2"/>
          </reference>
          <reference field="1" count="1" selected="0">
            <x v="4"/>
          </reference>
          <reference field="2" count="3">
            <x v="0"/>
            <x v="2"/>
            <x v="3"/>
          </reference>
        </references>
      </pivotArea>
    </format>
    <format dxfId="1">
      <pivotArea dataOnly="0" labelOnly="1" fieldPosition="0">
        <references count="3">
          <reference field="0" count="1" selected="0">
            <x v="3"/>
          </reference>
          <reference field="1" count="1" selected="0">
            <x v="5"/>
          </reference>
          <reference field="2" count="2">
            <x v="2"/>
            <x v="3"/>
          </reference>
        </references>
      </pivotArea>
    </format>
    <format dxfId="0">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B703178-097E-4CC0-8C48-8189B73DE616}" name="Table_Per_kg" displayName="Table_Per_kg" ref="BO1:BV3" totalsRowShown="0" headerRowDxfId="26" dataDxfId="25" tableBorderDxfId="24">
  <autoFilter ref="BO1:BV3" xr:uid="{EFBFA566-97D2-4764-A854-63865118F4FB}"/>
  <tableColumns count="8">
    <tableColumn id="1" xr3:uid="{51E97501-A527-411F-BE8B-2D03869BBD36}" name="Category" dataDxfId="23"/>
    <tableColumn id="2" xr3:uid="{C2137859-3135-4E1E-B209-DD6E4C9D7C0F}" name="Sub-Category" dataDxfId="22"/>
    <tableColumn id="3" xr3:uid="{6AAC841B-5A29-49EC-A59F-DBB5500FDB6D}" name="CO₂ Converted" dataDxfId="21"/>
    <tableColumn id="4" xr3:uid="{0B65E731-E8B6-4CC1-9380-A55213AB7690}" name="CO₂ Capture Process" dataDxfId="20"/>
    <tableColumn id="5" xr3:uid="{2EAB5578-00D6-4852-98D6-FAB284161D0F}" name="Electrolysis" dataDxfId="19"/>
    <tableColumn id="6" xr3:uid="{D64653F8-D5ED-430E-9D6D-E29026D333D5}" name="CO₂ Conversion Process" dataDxfId="18"/>
    <tableColumn id="7" xr3:uid="{5477DA05-8CFB-49DD-BDC7-C760FCDF64AC}" name="End Use" dataDxfId="17"/>
    <tableColumn id="8" xr3:uid="{98763156-DB80-4950-A945-D1C2C7DE58EA}" name="Net" dataDxfId="16">
      <calculatedColumnFormula>'Emission Factors'!$S$33</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2.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5" Type="http://schemas.openxmlformats.org/officeDocument/2006/relationships/ctrlProp" Target="../ctrlProps/ctrlProp2.xml"/><Relationship Id="rId61" Type="http://schemas.openxmlformats.org/officeDocument/2006/relationships/ctrlProp" Target="../ctrlProps/ctrlProp58.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table" Target="../tables/table1.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8106BF-8B9D-4A07-936F-23845DE26E6D}">
  <sheetPr codeName="Sheet10">
    <tabColor theme="1"/>
  </sheetPr>
  <dimension ref="B2:N22"/>
  <sheetViews>
    <sheetView workbookViewId="0">
      <selection activeCell="B2" sqref="B2:N2"/>
    </sheetView>
  </sheetViews>
  <sheetFormatPr defaultColWidth="8.81640625" defaultRowHeight="14.5" x14ac:dyDescent="0.35"/>
  <cols>
    <col min="8" max="8" width="11" customWidth="1"/>
    <col min="11" max="11" width="14" customWidth="1"/>
    <col min="22" max="22" width="16.1796875" customWidth="1"/>
  </cols>
  <sheetData>
    <row r="2" spans="2:14" ht="15.5" x14ac:dyDescent="0.35">
      <c r="B2" s="421" t="s">
        <v>489</v>
      </c>
      <c r="C2" s="421"/>
      <c r="D2" s="421"/>
      <c r="E2" s="421"/>
      <c r="F2" s="421"/>
      <c r="G2" s="421"/>
      <c r="H2" s="421"/>
      <c r="I2" s="421"/>
      <c r="J2" s="421"/>
      <c r="K2" s="421"/>
      <c r="L2" s="421"/>
      <c r="M2" s="421"/>
      <c r="N2" s="421"/>
    </row>
    <row r="4" spans="2:14" x14ac:dyDescent="0.35">
      <c r="B4" s="78" t="s">
        <v>558</v>
      </c>
      <c r="H4" s="24" t="s">
        <v>557</v>
      </c>
    </row>
    <row r="7" spans="2:14" ht="16.5" customHeight="1" x14ac:dyDescent="0.35"/>
    <row r="21" spans="2:4" x14ac:dyDescent="0.35">
      <c r="B21" s="24"/>
      <c r="C21" s="24"/>
      <c r="D21" s="24"/>
    </row>
    <row r="22" spans="2:4" x14ac:dyDescent="0.35">
      <c r="B22" s="24"/>
      <c r="C22" s="24"/>
      <c r="D22" s="24"/>
    </row>
  </sheetData>
  <mergeCells count="1">
    <mergeCell ref="B2:N2"/>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BA95-167F-456D-8E0C-F4AFA5AD9747}">
  <sheetPr codeName="Sheet1">
    <tabColor theme="1"/>
  </sheetPr>
  <dimension ref="A1:N259"/>
  <sheetViews>
    <sheetView tabSelected="1" zoomScale="90" zoomScaleNormal="90" workbookViewId="0">
      <selection activeCell="B2" sqref="B2:N2"/>
    </sheetView>
  </sheetViews>
  <sheetFormatPr defaultColWidth="8.81640625" defaultRowHeight="14.5" x14ac:dyDescent="0.35"/>
  <cols>
    <col min="2" max="2" width="4.1796875" customWidth="1"/>
    <col min="3" max="3" width="12" customWidth="1"/>
    <col min="4" max="4" width="12.36328125" customWidth="1"/>
    <col min="5" max="5" width="11.81640625" customWidth="1"/>
    <col min="6" max="6" width="10.36328125" customWidth="1"/>
    <col min="7" max="8" width="11.6328125" customWidth="1"/>
    <col min="9" max="9" width="10.36328125" customWidth="1"/>
    <col min="10" max="10" width="9.6328125" customWidth="1"/>
    <col min="11" max="11" width="11.1796875" customWidth="1"/>
    <col min="12" max="12" width="10.36328125" customWidth="1"/>
    <col min="13" max="13" width="9" customWidth="1"/>
    <col min="14" max="14" width="3.81640625" customWidth="1"/>
  </cols>
  <sheetData>
    <row r="1" spans="2:14" ht="15" thickBot="1" x14ac:dyDescent="0.4"/>
    <row r="2" spans="2:14" ht="16" thickBot="1" x14ac:dyDescent="0.4">
      <c r="B2" s="440" t="s">
        <v>301</v>
      </c>
      <c r="C2" s="441"/>
      <c r="D2" s="441"/>
      <c r="E2" s="441"/>
      <c r="F2" s="441"/>
      <c r="G2" s="441"/>
      <c r="H2" s="441"/>
      <c r="I2" s="441"/>
      <c r="J2" s="441"/>
      <c r="K2" s="441"/>
      <c r="L2" s="441"/>
      <c r="M2" s="441"/>
      <c r="N2" s="442"/>
    </row>
    <row r="3" spans="2:14" x14ac:dyDescent="0.35">
      <c r="B3" s="273"/>
      <c r="C3" s="274"/>
      <c r="D3" s="274"/>
      <c r="E3" s="274"/>
      <c r="F3" s="274"/>
      <c r="G3" s="274"/>
      <c r="H3" s="274"/>
      <c r="I3" s="274"/>
      <c r="J3" s="274"/>
      <c r="K3" s="274"/>
      <c r="L3" s="274"/>
      <c r="M3" s="274"/>
      <c r="N3" s="275"/>
    </row>
    <row r="4" spans="2:14" x14ac:dyDescent="0.35">
      <c r="B4" s="165"/>
      <c r="C4" s="284" t="s">
        <v>490</v>
      </c>
      <c r="D4" s="166"/>
      <c r="E4" s="166"/>
      <c r="F4" s="166"/>
      <c r="G4" s="166"/>
      <c r="H4" s="166"/>
      <c r="I4" s="166"/>
      <c r="J4" s="166"/>
      <c r="K4" s="166"/>
      <c r="L4" s="166"/>
      <c r="M4" s="166"/>
      <c r="N4" s="167"/>
    </row>
    <row r="5" spans="2:14" x14ac:dyDescent="0.35">
      <c r="B5" s="165"/>
      <c r="C5" s="166"/>
      <c r="D5" s="166"/>
      <c r="E5" s="166"/>
      <c r="F5" s="166"/>
      <c r="G5" s="166"/>
      <c r="H5" s="166"/>
      <c r="I5" s="166"/>
      <c r="J5" s="166"/>
      <c r="K5" s="166"/>
      <c r="L5" s="166"/>
      <c r="M5" s="166"/>
      <c r="N5" s="167"/>
    </row>
    <row r="6" spans="2:14" x14ac:dyDescent="0.35">
      <c r="B6" s="165"/>
      <c r="C6" s="166" t="s">
        <v>302</v>
      </c>
      <c r="D6" s="166" t="s">
        <v>352</v>
      </c>
      <c r="E6" s="166"/>
      <c r="F6" s="166"/>
      <c r="G6" s="166"/>
      <c r="H6" s="166"/>
      <c r="I6" s="166"/>
      <c r="J6" s="166"/>
      <c r="K6" s="166"/>
      <c r="L6" s="166"/>
      <c r="M6" s="166"/>
      <c r="N6" s="167"/>
    </row>
    <row r="7" spans="2:14" x14ac:dyDescent="0.35">
      <c r="B7" s="165"/>
      <c r="C7" s="166"/>
      <c r="D7" s="12"/>
      <c r="E7" s="166"/>
      <c r="F7" s="166"/>
      <c r="G7" s="166"/>
      <c r="H7" s="166"/>
      <c r="I7" s="166"/>
      <c r="J7" s="166"/>
      <c r="K7" s="166"/>
      <c r="L7" s="166"/>
      <c r="M7" s="166"/>
      <c r="N7" s="167"/>
    </row>
    <row r="8" spans="2:14" x14ac:dyDescent="0.35">
      <c r="B8" s="165"/>
      <c r="C8" s="166"/>
      <c r="D8" s="166" t="s">
        <v>448</v>
      </c>
      <c r="E8" s="166"/>
      <c r="F8" s="166"/>
      <c r="G8" s="166"/>
      <c r="H8" s="166"/>
      <c r="I8" s="166"/>
      <c r="J8" s="166"/>
      <c r="K8" s="166"/>
      <c r="L8" s="166"/>
      <c r="M8" s="166"/>
      <c r="N8" s="167"/>
    </row>
    <row r="9" spans="2:14" x14ac:dyDescent="0.35">
      <c r="B9" s="165"/>
      <c r="C9" s="166"/>
      <c r="D9" s="166"/>
      <c r="E9" s="166"/>
      <c r="F9" s="166"/>
      <c r="G9" s="166"/>
      <c r="H9" s="166"/>
      <c r="I9" s="166"/>
      <c r="J9" s="166"/>
      <c r="K9" s="166"/>
      <c r="L9" s="166"/>
      <c r="M9" s="166"/>
      <c r="N9" s="167"/>
    </row>
    <row r="10" spans="2:14" x14ac:dyDescent="0.35">
      <c r="B10" s="165"/>
      <c r="C10" s="166"/>
      <c r="D10" s="166" t="s">
        <v>350</v>
      </c>
      <c r="E10" s="166"/>
      <c r="F10" s="166"/>
      <c r="G10" s="166"/>
      <c r="H10" s="166"/>
      <c r="I10" s="166"/>
      <c r="J10" s="166"/>
      <c r="K10" s="166"/>
      <c r="L10" s="166"/>
      <c r="M10" s="166"/>
      <c r="N10" s="167"/>
    </row>
    <row r="11" spans="2:14" x14ac:dyDescent="0.35">
      <c r="B11" s="165"/>
      <c r="C11" s="166"/>
      <c r="D11" s="166"/>
      <c r="E11" s="166"/>
      <c r="F11" s="166"/>
      <c r="G11" s="166"/>
      <c r="H11" s="166"/>
      <c r="I11" s="166"/>
      <c r="J11" s="166"/>
      <c r="K11" s="166"/>
      <c r="L11" s="166"/>
      <c r="M11" s="166"/>
      <c r="N11" s="167"/>
    </row>
    <row r="12" spans="2:14" hidden="1" x14ac:dyDescent="0.35">
      <c r="B12" s="165"/>
      <c r="C12" s="166" t="s">
        <v>461</v>
      </c>
      <c r="D12" s="270" t="s">
        <v>460</v>
      </c>
      <c r="E12" s="166"/>
      <c r="F12" s="166"/>
      <c r="G12" s="166"/>
      <c r="H12" s="166"/>
      <c r="I12" s="166"/>
      <c r="J12" s="166"/>
      <c r="K12" s="166"/>
      <c r="L12" s="166"/>
      <c r="M12" s="166"/>
      <c r="N12" s="167"/>
    </row>
    <row r="13" spans="2:14" hidden="1" x14ac:dyDescent="0.35">
      <c r="B13" s="165"/>
      <c r="C13" s="166"/>
      <c r="D13" s="166"/>
      <c r="E13" s="166"/>
      <c r="F13" s="166"/>
      <c r="G13" s="166"/>
      <c r="H13" s="166"/>
      <c r="I13" s="166"/>
      <c r="J13" s="166"/>
      <c r="K13" s="166"/>
      <c r="L13" s="166"/>
      <c r="M13" s="166"/>
      <c r="N13" s="167"/>
    </row>
    <row r="14" spans="2:14" hidden="1" x14ac:dyDescent="0.35">
      <c r="B14" s="165"/>
      <c r="C14" s="166" t="s">
        <v>461</v>
      </c>
      <c r="D14" s="270" t="s">
        <v>457</v>
      </c>
      <c r="E14" s="166"/>
      <c r="F14" s="166"/>
      <c r="G14" s="166"/>
      <c r="H14" s="166"/>
      <c r="I14" s="166"/>
      <c r="J14" s="166"/>
      <c r="K14" s="166"/>
      <c r="L14" s="166"/>
      <c r="M14" s="166"/>
      <c r="N14" s="167"/>
    </row>
    <row r="15" spans="2:14" hidden="1" x14ac:dyDescent="0.35">
      <c r="B15" s="165"/>
      <c r="C15" s="166"/>
      <c r="D15" s="12"/>
      <c r="E15" s="166"/>
      <c r="F15" s="166"/>
      <c r="G15" s="166"/>
      <c r="H15" s="166"/>
      <c r="I15" s="166"/>
      <c r="J15" s="166"/>
      <c r="K15" s="166"/>
      <c r="L15" s="166"/>
      <c r="M15" s="166"/>
      <c r="N15" s="167"/>
    </row>
    <row r="16" spans="2:14" x14ac:dyDescent="0.35">
      <c r="B16" s="165"/>
      <c r="C16" s="166"/>
      <c r="D16" s="166" t="s">
        <v>458</v>
      </c>
      <c r="E16" s="166"/>
      <c r="F16" s="166"/>
      <c r="G16" s="166"/>
      <c r="H16" s="166"/>
      <c r="I16" s="166"/>
      <c r="J16" s="166"/>
      <c r="K16" s="166"/>
      <c r="L16" s="166"/>
      <c r="M16" s="166"/>
      <c r="N16" s="167"/>
    </row>
    <row r="17" spans="2:14" hidden="1" x14ac:dyDescent="0.35">
      <c r="B17" s="165"/>
      <c r="C17" s="166"/>
      <c r="D17" s="166"/>
      <c r="E17" s="166"/>
      <c r="F17" s="166"/>
      <c r="G17" s="166"/>
      <c r="H17" s="166"/>
      <c r="I17" s="166"/>
      <c r="J17" s="166"/>
      <c r="K17" s="166"/>
      <c r="L17" s="166"/>
      <c r="M17" s="166"/>
      <c r="N17" s="167"/>
    </row>
    <row r="18" spans="2:14" hidden="1" x14ac:dyDescent="0.35">
      <c r="B18" s="165"/>
      <c r="C18" s="166" t="s">
        <v>461</v>
      </c>
      <c r="D18" s="270" t="s">
        <v>459</v>
      </c>
      <c r="E18" s="166"/>
      <c r="F18" s="166"/>
      <c r="G18" s="166"/>
      <c r="H18" s="166"/>
      <c r="I18" s="166"/>
      <c r="J18" s="166"/>
      <c r="K18" s="166"/>
      <c r="L18" s="166"/>
      <c r="M18" s="166"/>
      <c r="N18" s="167"/>
    </row>
    <row r="19" spans="2:14" x14ac:dyDescent="0.35">
      <c r="B19" s="165"/>
      <c r="C19" s="166"/>
      <c r="D19" s="166"/>
      <c r="E19" s="166"/>
      <c r="F19" s="166"/>
      <c r="G19" s="166"/>
      <c r="H19" s="166"/>
      <c r="I19" s="166"/>
      <c r="J19" s="166"/>
      <c r="K19" s="166"/>
      <c r="L19" s="166"/>
      <c r="M19" s="166"/>
      <c r="N19" s="167"/>
    </row>
    <row r="20" spans="2:14" x14ac:dyDescent="0.35">
      <c r="B20" s="165"/>
      <c r="C20" s="166"/>
      <c r="D20" s="166" t="s">
        <v>348</v>
      </c>
      <c r="E20" s="166"/>
      <c r="F20" s="166"/>
      <c r="G20" s="166"/>
      <c r="H20" s="166"/>
      <c r="I20" s="166"/>
      <c r="J20" s="166"/>
      <c r="K20" s="166"/>
      <c r="L20" s="166"/>
      <c r="M20" s="166"/>
      <c r="N20" s="167"/>
    </row>
    <row r="21" spans="2:14" x14ac:dyDescent="0.35">
      <c r="B21" s="165"/>
      <c r="C21" s="166"/>
      <c r="D21" s="166"/>
      <c r="E21" s="166"/>
      <c r="F21" s="166"/>
      <c r="G21" s="166"/>
      <c r="H21" s="166"/>
      <c r="I21" s="166"/>
      <c r="J21" s="166"/>
      <c r="K21" s="166"/>
      <c r="L21" s="166"/>
      <c r="M21" s="166"/>
      <c r="N21" s="167"/>
    </row>
    <row r="22" spans="2:14" x14ac:dyDescent="0.35">
      <c r="B22" s="165"/>
      <c r="C22" s="166"/>
      <c r="D22" s="166" t="s">
        <v>349</v>
      </c>
      <c r="E22" s="166"/>
      <c r="F22" s="166"/>
      <c r="G22" s="166"/>
      <c r="H22" s="166"/>
      <c r="I22" s="166"/>
      <c r="J22" s="166"/>
      <c r="K22" s="166"/>
      <c r="L22" s="166"/>
      <c r="M22" s="166"/>
      <c r="N22" s="167"/>
    </row>
    <row r="23" spans="2:14" x14ac:dyDescent="0.35">
      <c r="B23" s="165"/>
      <c r="C23" s="166"/>
      <c r="D23" s="166"/>
      <c r="E23" s="166"/>
      <c r="F23" s="166"/>
      <c r="G23" s="166"/>
      <c r="H23" s="166"/>
      <c r="I23" s="166"/>
      <c r="J23" s="166"/>
      <c r="K23" s="166"/>
      <c r="L23" s="166"/>
      <c r="M23" s="166"/>
      <c r="N23" s="167"/>
    </row>
    <row r="24" spans="2:14" x14ac:dyDescent="0.35">
      <c r="B24" s="165"/>
      <c r="C24" s="166"/>
      <c r="D24" s="166" t="s">
        <v>351</v>
      </c>
      <c r="E24" s="166"/>
      <c r="F24" s="166"/>
      <c r="G24" s="166"/>
      <c r="H24" s="166"/>
      <c r="I24" s="166"/>
      <c r="J24" s="166"/>
      <c r="K24" s="166"/>
      <c r="L24" s="166"/>
      <c r="M24" s="166"/>
      <c r="N24" s="167"/>
    </row>
    <row r="25" spans="2:14" x14ac:dyDescent="0.35">
      <c r="B25" s="165"/>
      <c r="C25" s="166"/>
      <c r="D25" s="12"/>
      <c r="E25" s="166"/>
      <c r="F25" s="166"/>
      <c r="G25" s="166"/>
      <c r="H25" s="166"/>
      <c r="I25" s="166"/>
      <c r="J25" s="166"/>
      <c r="K25" s="166"/>
      <c r="L25" s="166"/>
      <c r="M25" s="166"/>
      <c r="N25" s="167"/>
    </row>
    <row r="26" spans="2:14" x14ac:dyDescent="0.35">
      <c r="B26" s="165"/>
      <c r="C26" s="166"/>
      <c r="D26" s="166" t="s">
        <v>343</v>
      </c>
      <c r="E26" s="166"/>
      <c r="F26" s="166"/>
      <c r="G26" s="166"/>
      <c r="H26" s="166"/>
      <c r="I26" s="166"/>
      <c r="J26" s="166"/>
      <c r="K26" s="166"/>
      <c r="L26" s="166"/>
      <c r="M26" s="166"/>
      <c r="N26" s="167"/>
    </row>
    <row r="27" spans="2:14" x14ac:dyDescent="0.35">
      <c r="B27" s="165"/>
      <c r="C27" s="166"/>
      <c r="D27" s="166"/>
      <c r="E27" s="166"/>
      <c r="F27" s="166"/>
      <c r="G27" s="166"/>
      <c r="H27" s="166"/>
      <c r="I27" s="166"/>
      <c r="J27" s="166"/>
      <c r="K27" s="166"/>
      <c r="L27" s="166"/>
      <c r="M27" s="166"/>
      <c r="N27" s="167"/>
    </row>
    <row r="28" spans="2:14" ht="15" thickBot="1" x14ac:dyDescent="0.4">
      <c r="B28" s="276"/>
      <c r="C28" s="277"/>
      <c r="D28" s="277"/>
      <c r="E28" s="277"/>
      <c r="F28" s="277"/>
      <c r="G28" s="277"/>
      <c r="H28" s="277"/>
      <c r="I28" s="277"/>
      <c r="J28" s="277"/>
      <c r="K28" s="277"/>
      <c r="L28" s="277"/>
      <c r="M28" s="277"/>
      <c r="N28" s="278"/>
    </row>
    <row r="29" spans="2:14" x14ac:dyDescent="0.35">
      <c r="B29" s="165"/>
      <c r="C29" s="166"/>
      <c r="D29" s="166"/>
      <c r="E29" s="166"/>
      <c r="F29" s="166"/>
      <c r="G29" s="166"/>
      <c r="H29" s="166"/>
      <c r="I29" s="166"/>
      <c r="J29" s="166"/>
      <c r="K29" s="166"/>
      <c r="L29" s="166"/>
      <c r="M29" s="166"/>
      <c r="N29" s="167"/>
    </row>
    <row r="30" spans="2:14" x14ac:dyDescent="0.35">
      <c r="B30" s="165"/>
      <c r="C30" s="166" t="s">
        <v>303</v>
      </c>
      <c r="D30" s="166"/>
      <c r="E30" s="166"/>
      <c r="F30" s="166"/>
      <c r="G30" s="166"/>
      <c r="H30" s="166"/>
      <c r="I30" s="166"/>
      <c r="J30" s="166"/>
      <c r="K30" s="166"/>
      <c r="L30" s="166"/>
      <c r="M30" s="166"/>
      <c r="N30" s="167"/>
    </row>
    <row r="31" spans="2:14" x14ac:dyDescent="0.35">
      <c r="B31" s="165"/>
      <c r="C31" s="166"/>
      <c r="D31" s="166"/>
      <c r="E31" s="166"/>
      <c r="F31" s="166"/>
      <c r="G31" s="166"/>
      <c r="H31" s="166"/>
      <c r="I31" s="166"/>
      <c r="J31" s="166"/>
      <c r="K31" s="166"/>
      <c r="L31" s="166"/>
      <c r="M31" s="166"/>
      <c r="N31" s="167"/>
    </row>
    <row r="32" spans="2:14" x14ac:dyDescent="0.35">
      <c r="B32" s="165"/>
      <c r="C32" s="443" t="s">
        <v>663</v>
      </c>
      <c r="D32" s="443"/>
      <c r="E32" s="443"/>
      <c r="F32" s="443"/>
      <c r="G32" s="443"/>
      <c r="H32" s="443"/>
      <c r="I32" s="443"/>
      <c r="J32" s="443"/>
      <c r="K32" s="443"/>
      <c r="L32" s="443"/>
      <c r="M32" s="443"/>
      <c r="N32" s="167"/>
    </row>
    <row r="33" spans="2:14" x14ac:dyDescent="0.35">
      <c r="B33" s="165"/>
      <c r="C33" s="443"/>
      <c r="D33" s="443"/>
      <c r="E33" s="443"/>
      <c r="F33" s="443"/>
      <c r="G33" s="443"/>
      <c r="H33" s="443"/>
      <c r="I33" s="443"/>
      <c r="J33" s="443"/>
      <c r="K33" s="443"/>
      <c r="L33" s="443"/>
      <c r="M33" s="443"/>
      <c r="N33" s="167"/>
    </row>
    <row r="34" spans="2:14" x14ac:dyDescent="0.35">
      <c r="B34" s="165"/>
      <c r="C34" s="443"/>
      <c r="D34" s="443"/>
      <c r="E34" s="443"/>
      <c r="F34" s="443"/>
      <c r="G34" s="443"/>
      <c r="H34" s="443"/>
      <c r="I34" s="443"/>
      <c r="J34" s="443"/>
      <c r="K34" s="443"/>
      <c r="L34" s="443"/>
      <c r="M34" s="443"/>
      <c r="N34" s="167"/>
    </row>
    <row r="35" spans="2:14" x14ac:dyDescent="0.35">
      <c r="B35" s="165"/>
      <c r="C35" s="443"/>
      <c r="D35" s="443"/>
      <c r="E35" s="443"/>
      <c r="F35" s="443"/>
      <c r="G35" s="443"/>
      <c r="H35" s="443"/>
      <c r="I35" s="443"/>
      <c r="J35" s="443"/>
      <c r="K35" s="443"/>
      <c r="L35" s="443"/>
      <c r="M35" s="443"/>
      <c r="N35" s="167"/>
    </row>
    <row r="36" spans="2:14" x14ac:dyDescent="0.35">
      <c r="B36" s="165"/>
      <c r="C36" s="166"/>
      <c r="D36" s="166"/>
      <c r="E36" s="166"/>
      <c r="F36" s="166"/>
      <c r="G36" s="166"/>
      <c r="H36" s="166"/>
      <c r="I36" s="166"/>
      <c r="J36" s="166"/>
      <c r="K36" s="166"/>
      <c r="L36" s="166"/>
      <c r="M36" s="166"/>
      <c r="N36" s="167"/>
    </row>
    <row r="37" spans="2:14" x14ac:dyDescent="0.35">
      <c r="B37" s="165"/>
      <c r="C37" s="168" t="s">
        <v>247</v>
      </c>
      <c r="D37" s="154"/>
      <c r="E37" s="154"/>
      <c r="F37" s="154"/>
      <c r="G37" s="154"/>
      <c r="H37" s="154"/>
      <c r="I37" s="154"/>
      <c r="J37" s="154"/>
      <c r="K37" s="154"/>
      <c r="L37" s="154"/>
      <c r="M37" s="154"/>
      <c r="N37" s="167"/>
    </row>
    <row r="38" spans="2:14" s="169" customFormat="1" x14ac:dyDescent="0.35">
      <c r="B38" s="170"/>
      <c r="C38" s="171"/>
      <c r="D38" s="171"/>
      <c r="E38" s="171"/>
      <c r="F38" s="171"/>
      <c r="G38" s="171"/>
      <c r="H38" s="171"/>
      <c r="I38" s="171"/>
      <c r="J38" s="171"/>
      <c r="K38" s="171"/>
      <c r="L38" s="171"/>
      <c r="M38" s="171"/>
      <c r="N38" s="172"/>
    </row>
    <row r="39" spans="2:14" x14ac:dyDescent="0.35">
      <c r="B39" s="165"/>
      <c r="C39" s="166" t="s">
        <v>161</v>
      </c>
      <c r="D39" s="166"/>
      <c r="E39" s="166"/>
      <c r="F39" s="166"/>
      <c r="G39" s="166"/>
      <c r="H39" s="166"/>
      <c r="I39" s="166"/>
      <c r="J39" s="166"/>
      <c r="K39" s="166"/>
      <c r="L39" s="166"/>
      <c r="M39" s="166"/>
      <c r="N39" s="167"/>
    </row>
    <row r="40" spans="2:14" x14ac:dyDescent="0.35">
      <c r="B40" s="165"/>
      <c r="C40" s="166" t="s">
        <v>487</v>
      </c>
      <c r="D40" s="166"/>
      <c r="E40" s="166"/>
      <c r="F40" s="166"/>
      <c r="G40" s="166"/>
      <c r="H40" s="166"/>
      <c r="I40" s="166"/>
      <c r="J40" s="166"/>
      <c r="K40" s="166"/>
      <c r="L40" s="166"/>
      <c r="M40" s="166"/>
      <c r="N40" s="167"/>
    </row>
    <row r="41" spans="2:14" x14ac:dyDescent="0.35">
      <c r="B41" s="165"/>
      <c r="C41" s="166"/>
      <c r="D41" s="444" t="s">
        <v>485</v>
      </c>
      <c r="E41" s="444"/>
      <c r="F41" s="444"/>
      <c r="G41" s="444"/>
      <c r="H41" s="444"/>
      <c r="I41" s="444"/>
      <c r="J41" s="444"/>
      <c r="K41" s="444"/>
      <c r="L41" s="444"/>
      <c r="M41" s="444"/>
      <c r="N41" s="167"/>
    </row>
    <row r="42" spans="2:14" x14ac:dyDescent="0.35">
      <c r="B42" s="165"/>
      <c r="C42" s="268"/>
      <c r="D42" s="444"/>
      <c r="E42" s="444"/>
      <c r="F42" s="444"/>
      <c r="G42" s="444"/>
      <c r="H42" s="444"/>
      <c r="I42" s="444"/>
      <c r="J42" s="444"/>
      <c r="K42" s="444"/>
      <c r="L42" s="444"/>
      <c r="M42" s="444"/>
      <c r="N42" s="167"/>
    </row>
    <row r="43" spans="2:14" x14ac:dyDescent="0.35">
      <c r="B43" s="165"/>
      <c r="C43" s="268"/>
      <c r="D43" s="444"/>
      <c r="E43" s="444"/>
      <c r="F43" s="444"/>
      <c r="G43" s="444"/>
      <c r="H43" s="444"/>
      <c r="I43" s="444"/>
      <c r="J43" s="444"/>
      <c r="K43" s="444"/>
      <c r="L43" s="444"/>
      <c r="M43" s="444"/>
      <c r="N43" s="167"/>
    </row>
    <row r="44" spans="2:14" x14ac:dyDescent="0.35">
      <c r="B44" s="165"/>
      <c r="C44" s="166" t="s">
        <v>565</v>
      </c>
      <c r="D44" s="166"/>
      <c r="E44" s="166"/>
      <c r="F44" s="166"/>
      <c r="G44" s="166"/>
      <c r="H44" s="166"/>
      <c r="I44" s="166"/>
      <c r="J44" s="166"/>
      <c r="K44" s="166"/>
      <c r="L44" s="166"/>
      <c r="M44" s="166"/>
      <c r="N44" s="167"/>
    </row>
    <row r="45" spans="2:14" x14ac:dyDescent="0.35">
      <c r="B45" s="165"/>
      <c r="C45" s="166" t="s">
        <v>304</v>
      </c>
      <c r="D45" s="166"/>
      <c r="E45" s="166"/>
      <c r="F45" s="166"/>
      <c r="G45" s="166"/>
      <c r="H45" s="166"/>
      <c r="I45" s="166"/>
      <c r="J45" s="166"/>
      <c r="K45" s="166"/>
      <c r="L45" s="166"/>
      <c r="M45" s="166"/>
      <c r="N45" s="167"/>
    </row>
    <row r="46" spans="2:14" x14ac:dyDescent="0.35">
      <c r="B46" s="165"/>
      <c r="C46" s="166"/>
      <c r="D46" s="444" t="s">
        <v>566</v>
      </c>
      <c r="E46" s="444"/>
      <c r="F46" s="444"/>
      <c r="G46" s="444"/>
      <c r="H46" s="444"/>
      <c r="I46" s="444"/>
      <c r="J46" s="444"/>
      <c r="K46" s="444"/>
      <c r="L46" s="444"/>
      <c r="M46" s="444"/>
      <c r="N46" s="167"/>
    </row>
    <row r="47" spans="2:14" x14ac:dyDescent="0.35">
      <c r="B47" s="165"/>
      <c r="C47" s="166"/>
      <c r="D47" s="444"/>
      <c r="E47" s="444"/>
      <c r="F47" s="444"/>
      <c r="G47" s="444"/>
      <c r="H47" s="444"/>
      <c r="I47" s="444"/>
      <c r="J47" s="444"/>
      <c r="K47" s="444"/>
      <c r="L47" s="444"/>
      <c r="M47" s="444"/>
      <c r="N47" s="167"/>
    </row>
    <row r="48" spans="2:14" x14ac:dyDescent="0.35">
      <c r="B48" s="165"/>
      <c r="C48" s="166"/>
      <c r="D48" s="444" t="s">
        <v>567</v>
      </c>
      <c r="E48" s="444"/>
      <c r="F48" s="444"/>
      <c r="G48" s="444"/>
      <c r="H48" s="444"/>
      <c r="I48" s="444"/>
      <c r="J48" s="444"/>
      <c r="K48" s="444"/>
      <c r="L48" s="444"/>
      <c r="M48" s="444"/>
      <c r="N48" s="167"/>
    </row>
    <row r="49" spans="2:14" x14ac:dyDescent="0.35">
      <c r="B49" s="165"/>
      <c r="C49" s="166"/>
      <c r="D49" s="444"/>
      <c r="E49" s="444"/>
      <c r="F49" s="444"/>
      <c r="G49" s="444"/>
      <c r="H49" s="444"/>
      <c r="I49" s="444"/>
      <c r="J49" s="444"/>
      <c r="K49" s="444"/>
      <c r="L49" s="444"/>
      <c r="M49" s="444"/>
      <c r="N49" s="167"/>
    </row>
    <row r="50" spans="2:14" x14ac:dyDescent="0.35">
      <c r="B50" s="165"/>
      <c r="C50" s="166"/>
      <c r="D50" s="166" t="s">
        <v>413</v>
      </c>
      <c r="E50" s="166"/>
      <c r="F50" s="166"/>
      <c r="G50" s="166"/>
      <c r="H50" s="166"/>
      <c r="I50" s="166"/>
      <c r="J50" s="166"/>
      <c r="K50" s="166"/>
      <c r="L50" s="166"/>
      <c r="M50" s="166"/>
      <c r="N50" s="167"/>
    </row>
    <row r="51" spans="2:14" x14ac:dyDescent="0.35">
      <c r="B51" s="165"/>
      <c r="C51" s="166" t="s">
        <v>568</v>
      </c>
      <c r="D51" s="166"/>
      <c r="E51" s="166"/>
      <c r="F51" s="166"/>
      <c r="G51" s="166"/>
      <c r="H51" s="166"/>
      <c r="I51" s="166"/>
      <c r="J51" s="166"/>
      <c r="K51" s="166"/>
      <c r="L51" s="166"/>
      <c r="M51" s="166"/>
      <c r="N51" s="167"/>
    </row>
    <row r="52" spans="2:14" x14ac:dyDescent="0.35">
      <c r="B52" s="165"/>
      <c r="C52" s="166"/>
      <c r="D52" s="166" t="s">
        <v>440</v>
      </c>
      <c r="E52" s="166"/>
      <c r="F52" s="166"/>
      <c r="G52" s="166"/>
      <c r="H52" s="166"/>
      <c r="I52" s="166"/>
      <c r="J52" s="166"/>
      <c r="K52" s="166"/>
      <c r="L52" s="166"/>
      <c r="M52" s="166"/>
      <c r="N52" s="167"/>
    </row>
    <row r="53" spans="2:14" ht="14.5" customHeight="1" x14ac:dyDescent="0.35">
      <c r="B53" s="165"/>
      <c r="C53" s="444" t="s">
        <v>586</v>
      </c>
      <c r="D53" s="444"/>
      <c r="E53" s="444"/>
      <c r="F53" s="444"/>
      <c r="G53" s="444"/>
      <c r="H53" s="444"/>
      <c r="I53" s="444"/>
      <c r="J53" s="444"/>
      <c r="K53" s="444"/>
      <c r="L53" s="444"/>
      <c r="M53" s="444"/>
      <c r="N53" s="167"/>
    </row>
    <row r="54" spans="2:14" x14ac:dyDescent="0.35">
      <c r="B54" s="165"/>
      <c r="C54" s="166"/>
      <c r="D54" s="166"/>
      <c r="E54" s="166"/>
      <c r="F54" s="166"/>
      <c r="G54" s="166"/>
      <c r="H54" s="166"/>
      <c r="I54" s="166"/>
      <c r="J54" s="166"/>
      <c r="K54" s="166"/>
      <c r="L54" s="166"/>
      <c r="M54" s="166"/>
      <c r="N54" s="167"/>
    </row>
    <row r="55" spans="2:14" x14ac:dyDescent="0.35">
      <c r="B55" s="165"/>
      <c r="C55" s="166"/>
      <c r="D55" s="166"/>
      <c r="E55" s="166"/>
      <c r="F55" s="166"/>
      <c r="G55" s="166"/>
      <c r="H55" s="166"/>
      <c r="I55" s="166"/>
      <c r="J55" s="166"/>
      <c r="K55" s="166"/>
      <c r="L55" s="166"/>
      <c r="M55" s="166"/>
      <c r="N55" s="167"/>
    </row>
    <row r="56" spans="2:14" x14ac:dyDescent="0.35">
      <c r="B56" s="165"/>
      <c r="C56" s="168" t="s">
        <v>493</v>
      </c>
      <c r="D56" s="168"/>
      <c r="E56" s="168"/>
      <c r="F56" s="168"/>
      <c r="G56" s="168"/>
      <c r="H56" s="168"/>
      <c r="I56" s="168"/>
      <c r="J56" s="168"/>
      <c r="K56" s="168"/>
      <c r="L56" s="168"/>
      <c r="M56" s="168"/>
      <c r="N56" s="167"/>
    </row>
    <row r="57" spans="2:14" x14ac:dyDescent="0.35">
      <c r="B57" s="165"/>
      <c r="C57" s="166"/>
      <c r="D57" s="166"/>
      <c r="E57" s="166"/>
      <c r="F57" s="166"/>
      <c r="G57" s="166"/>
      <c r="H57" s="166"/>
      <c r="I57" s="166"/>
      <c r="J57" s="166"/>
      <c r="K57" s="166"/>
      <c r="L57" s="166"/>
      <c r="M57" s="166"/>
      <c r="N57" s="167"/>
    </row>
    <row r="58" spans="2:14" x14ac:dyDescent="0.35">
      <c r="B58" s="165"/>
      <c r="C58" s="173" t="s">
        <v>305</v>
      </c>
      <c r="D58" s="173"/>
      <c r="E58" s="173"/>
      <c r="F58" s="173"/>
      <c r="G58" s="173"/>
      <c r="H58" s="173"/>
      <c r="I58" s="173"/>
      <c r="J58" s="173"/>
      <c r="K58" s="173"/>
      <c r="L58" s="173"/>
      <c r="M58" s="173"/>
      <c r="N58" s="167"/>
    </row>
    <row r="59" spans="2:14" x14ac:dyDescent="0.35">
      <c r="B59" s="165"/>
      <c r="C59" s="166"/>
      <c r="D59" s="166"/>
      <c r="E59" s="166"/>
      <c r="F59" s="166"/>
      <c r="G59" s="166"/>
      <c r="H59" s="166"/>
      <c r="I59" s="166"/>
      <c r="J59" s="166"/>
      <c r="K59" s="166"/>
      <c r="L59" s="166"/>
      <c r="M59" s="166"/>
      <c r="N59" s="167"/>
    </row>
    <row r="60" spans="2:14" x14ac:dyDescent="0.35">
      <c r="B60" s="165"/>
      <c r="C60" s="166"/>
      <c r="D60" s="166" t="s">
        <v>306</v>
      </c>
      <c r="E60" s="166"/>
      <c r="F60" s="166"/>
      <c r="G60" s="166"/>
      <c r="H60" s="166"/>
      <c r="I60" s="166"/>
      <c r="J60" s="166"/>
      <c r="K60" s="166"/>
      <c r="L60" s="166"/>
      <c r="M60" s="166"/>
      <c r="N60" s="167"/>
    </row>
    <row r="61" spans="2:14" x14ac:dyDescent="0.35">
      <c r="B61" s="165"/>
      <c r="C61" s="166"/>
      <c r="D61" s="166"/>
      <c r="E61" s="166" t="s">
        <v>307</v>
      </c>
      <c r="F61" s="166"/>
      <c r="G61" s="166"/>
      <c r="H61" s="166"/>
      <c r="I61" s="166"/>
      <c r="J61" s="166"/>
      <c r="K61" s="166"/>
      <c r="L61" s="166"/>
      <c r="M61" s="166"/>
      <c r="N61" s="167"/>
    </row>
    <row r="62" spans="2:14" x14ac:dyDescent="0.35">
      <c r="B62" s="165"/>
      <c r="C62" s="166"/>
      <c r="D62" s="166"/>
      <c r="E62" s="166" t="s">
        <v>308</v>
      </c>
      <c r="F62" s="166"/>
      <c r="G62" s="166"/>
      <c r="H62" s="166"/>
      <c r="I62" s="166"/>
      <c r="J62" s="166"/>
      <c r="K62" s="166"/>
      <c r="L62" s="166"/>
      <c r="M62" s="166"/>
      <c r="N62" s="167"/>
    </row>
    <row r="63" spans="2:14" x14ac:dyDescent="0.35">
      <c r="B63" s="165"/>
      <c r="C63" s="166"/>
      <c r="D63" s="166"/>
      <c r="E63" s="166" t="s">
        <v>309</v>
      </c>
      <c r="F63" s="166"/>
      <c r="G63" s="166"/>
      <c r="H63" s="166"/>
      <c r="I63" s="166"/>
      <c r="J63" s="166"/>
      <c r="K63" s="166"/>
      <c r="L63" s="166"/>
      <c r="M63" s="166"/>
      <c r="N63" s="167"/>
    </row>
    <row r="64" spans="2:14" x14ac:dyDescent="0.35">
      <c r="B64" s="165"/>
      <c r="C64" s="166"/>
      <c r="D64" s="166"/>
      <c r="E64" s="166" t="s">
        <v>494</v>
      </c>
      <c r="F64" s="166"/>
      <c r="G64" s="166"/>
      <c r="H64" s="166"/>
      <c r="I64" s="166"/>
      <c r="J64" s="166"/>
      <c r="K64" s="166"/>
      <c r="L64" s="166"/>
      <c r="M64" s="166"/>
      <c r="N64" s="167"/>
    </row>
    <row r="65" spans="2:14" x14ac:dyDescent="0.35">
      <c r="B65" s="165"/>
      <c r="C65" s="166"/>
      <c r="D65" s="166"/>
      <c r="E65" s="166"/>
      <c r="F65" s="166"/>
      <c r="G65" s="166"/>
      <c r="H65" s="166"/>
      <c r="I65" s="166"/>
      <c r="J65" s="166"/>
      <c r="K65" s="166"/>
      <c r="L65" s="166"/>
      <c r="M65" s="166"/>
      <c r="N65" s="167"/>
    </row>
    <row r="66" spans="2:14" x14ac:dyDescent="0.35">
      <c r="B66" s="165"/>
      <c r="C66" s="174" t="s">
        <v>495</v>
      </c>
      <c r="D66" s="174"/>
      <c r="E66" s="174"/>
      <c r="F66" s="174"/>
      <c r="G66" s="174"/>
      <c r="H66" s="174"/>
      <c r="I66" s="174"/>
      <c r="J66" s="174"/>
      <c r="K66" s="174"/>
      <c r="L66" s="174"/>
      <c r="M66" s="174"/>
      <c r="N66" s="167"/>
    </row>
    <row r="67" spans="2:14" x14ac:dyDescent="0.35">
      <c r="B67" s="165"/>
      <c r="C67" s="166"/>
      <c r="D67" s="166"/>
      <c r="E67" s="166"/>
      <c r="F67" s="166"/>
      <c r="G67" s="166"/>
      <c r="H67" s="166"/>
      <c r="I67" s="166"/>
      <c r="J67" s="166"/>
      <c r="K67" s="166"/>
      <c r="L67" s="166"/>
      <c r="M67" s="166"/>
      <c r="N67" s="167"/>
    </row>
    <row r="68" spans="2:14" x14ac:dyDescent="0.35">
      <c r="B68" s="165"/>
      <c r="C68" s="445" t="s">
        <v>556</v>
      </c>
      <c r="D68" s="445"/>
      <c r="E68" s="445"/>
      <c r="F68" s="445"/>
      <c r="G68" s="445"/>
      <c r="H68" s="445"/>
      <c r="I68" s="445"/>
      <c r="J68" s="445"/>
      <c r="K68" s="445"/>
      <c r="L68" s="445"/>
      <c r="M68" s="445"/>
      <c r="N68" s="167"/>
    </row>
    <row r="69" spans="2:14" x14ac:dyDescent="0.35">
      <c r="B69" s="165"/>
      <c r="C69" s="445"/>
      <c r="D69" s="445"/>
      <c r="E69" s="445"/>
      <c r="F69" s="445"/>
      <c r="G69" s="445"/>
      <c r="H69" s="445"/>
      <c r="I69" s="445"/>
      <c r="J69" s="445"/>
      <c r="K69" s="445"/>
      <c r="L69" s="445"/>
      <c r="M69" s="445"/>
      <c r="N69" s="167"/>
    </row>
    <row r="70" spans="2:14" x14ac:dyDescent="0.35">
      <c r="B70" s="165"/>
      <c r="C70" s="445"/>
      <c r="D70" s="445"/>
      <c r="E70" s="445"/>
      <c r="F70" s="445"/>
      <c r="G70" s="445"/>
      <c r="H70" s="445"/>
      <c r="I70" s="445"/>
      <c r="J70" s="445"/>
      <c r="K70" s="445"/>
      <c r="L70" s="445"/>
      <c r="M70" s="445"/>
      <c r="N70" s="167"/>
    </row>
    <row r="71" spans="2:14" x14ac:dyDescent="0.35">
      <c r="B71" s="165"/>
      <c r="C71" s="175"/>
      <c r="D71" s="175"/>
      <c r="E71" s="175"/>
      <c r="F71" s="175"/>
      <c r="G71" s="175"/>
      <c r="H71" s="175"/>
      <c r="I71" s="175"/>
      <c r="J71" s="175"/>
      <c r="K71" s="175"/>
      <c r="L71" s="175"/>
      <c r="M71" s="175"/>
      <c r="N71" s="167"/>
    </row>
    <row r="72" spans="2:14" x14ac:dyDescent="0.35">
      <c r="B72" s="165"/>
      <c r="C72" s="446" t="s">
        <v>310</v>
      </c>
      <c r="D72" s="446"/>
      <c r="E72" s="446"/>
      <c r="F72" s="446"/>
      <c r="G72" s="446"/>
      <c r="H72" s="446"/>
      <c r="I72" s="446"/>
      <c r="J72" s="446"/>
      <c r="K72" s="446"/>
      <c r="L72" s="446"/>
      <c r="M72" s="446"/>
      <c r="N72" s="167"/>
    </row>
    <row r="73" spans="2:14" x14ac:dyDescent="0.35">
      <c r="B73" s="165"/>
      <c r="C73" s="175"/>
      <c r="D73" s="175"/>
      <c r="E73" s="175"/>
      <c r="F73" s="175"/>
      <c r="G73" s="175"/>
      <c r="H73" s="175"/>
      <c r="I73" s="175"/>
      <c r="J73" s="175"/>
      <c r="K73" s="175"/>
      <c r="L73" s="175"/>
      <c r="M73" s="175"/>
      <c r="N73" s="167"/>
    </row>
    <row r="74" spans="2:14" x14ac:dyDescent="0.35">
      <c r="B74" s="165"/>
      <c r="C74" s="447" t="s">
        <v>664</v>
      </c>
      <c r="D74" s="447"/>
      <c r="E74" s="447"/>
      <c r="F74" s="447"/>
      <c r="G74" s="447"/>
      <c r="H74" s="447"/>
      <c r="I74" s="447"/>
      <c r="J74" s="447"/>
      <c r="K74" s="447"/>
      <c r="L74" s="447"/>
      <c r="M74" s="447"/>
      <c r="N74" s="167"/>
    </row>
    <row r="75" spans="2:14" x14ac:dyDescent="0.35">
      <c r="B75" s="165"/>
      <c r="C75" s="447"/>
      <c r="D75" s="447"/>
      <c r="E75" s="447"/>
      <c r="F75" s="447"/>
      <c r="G75" s="447"/>
      <c r="H75" s="447"/>
      <c r="I75" s="447"/>
      <c r="J75" s="447"/>
      <c r="K75" s="447"/>
      <c r="L75" s="447"/>
      <c r="M75" s="447"/>
      <c r="N75" s="167"/>
    </row>
    <row r="76" spans="2:14" x14ac:dyDescent="0.35">
      <c r="B76" s="165"/>
      <c r="C76" s="166"/>
      <c r="D76" s="166"/>
      <c r="E76" s="166"/>
      <c r="F76" s="166"/>
      <c r="G76" s="166"/>
      <c r="H76" s="166"/>
      <c r="I76" s="166"/>
      <c r="J76" s="166"/>
      <c r="K76" s="166"/>
      <c r="L76" s="166"/>
      <c r="M76" s="166"/>
      <c r="N76" s="167"/>
    </row>
    <row r="77" spans="2:14" s="169" customFormat="1" x14ac:dyDescent="0.35">
      <c r="B77" s="170"/>
      <c r="C77" s="168" t="s">
        <v>496</v>
      </c>
      <c r="D77" s="168"/>
      <c r="E77" s="168"/>
      <c r="F77" s="168"/>
      <c r="G77" s="168"/>
      <c r="H77" s="168"/>
      <c r="I77" s="168"/>
      <c r="J77" s="168"/>
      <c r="K77" s="168"/>
      <c r="L77" s="168"/>
      <c r="M77" s="168"/>
      <c r="N77" s="172"/>
    </row>
    <row r="78" spans="2:14" x14ac:dyDescent="0.35">
      <c r="B78" s="165"/>
      <c r="C78" s="166"/>
      <c r="D78" s="166"/>
      <c r="E78" s="166"/>
      <c r="F78" s="166"/>
      <c r="G78" s="166"/>
      <c r="H78" s="166"/>
      <c r="I78" s="166"/>
      <c r="J78" s="166"/>
      <c r="K78" s="166"/>
      <c r="L78" s="166"/>
      <c r="M78" s="166"/>
      <c r="N78" s="167"/>
    </row>
    <row r="79" spans="2:14" x14ac:dyDescent="0.35">
      <c r="B79" s="165"/>
      <c r="C79" s="166" t="s">
        <v>216</v>
      </c>
      <c r="D79" s="166"/>
      <c r="E79" s="166"/>
      <c r="F79" s="166"/>
      <c r="G79" s="166"/>
      <c r="H79" s="166"/>
      <c r="I79" s="166"/>
      <c r="J79" s="166"/>
      <c r="K79" s="166"/>
      <c r="L79" s="166"/>
      <c r="M79" s="166"/>
      <c r="N79" s="167"/>
    </row>
    <row r="80" spans="2:14" ht="16.5" x14ac:dyDescent="0.45">
      <c r="B80" s="165"/>
      <c r="C80" s="166" t="s">
        <v>488</v>
      </c>
      <c r="D80" s="166"/>
      <c r="E80" s="166"/>
      <c r="F80" s="166"/>
      <c r="G80" s="166"/>
      <c r="H80" s="166"/>
      <c r="I80" s="166"/>
      <c r="J80" s="166"/>
      <c r="K80" s="166"/>
      <c r="L80" s="166"/>
      <c r="M80" s="166"/>
      <c r="N80" s="167"/>
    </row>
    <row r="81" spans="2:14" x14ac:dyDescent="0.35">
      <c r="B81" s="165"/>
      <c r="C81" s="166"/>
      <c r="D81" s="166"/>
      <c r="E81" s="166"/>
      <c r="F81" s="166"/>
      <c r="G81" s="166"/>
      <c r="H81" s="166"/>
      <c r="I81" s="166"/>
      <c r="J81" s="166"/>
      <c r="K81" s="166"/>
      <c r="L81" s="166"/>
      <c r="M81" s="166"/>
      <c r="N81" s="167"/>
    </row>
    <row r="82" spans="2:14" ht="14.5" customHeight="1" x14ac:dyDescent="0.35">
      <c r="B82" s="165"/>
      <c r="C82" s="422" t="s">
        <v>497</v>
      </c>
      <c r="D82" s="423"/>
      <c r="E82" s="422" t="s">
        <v>498</v>
      </c>
      <c r="F82" s="424"/>
      <c r="G82" s="424"/>
      <c r="H82" s="423"/>
      <c r="I82" s="422" t="s">
        <v>499</v>
      </c>
      <c r="J82" s="424"/>
      <c r="K82" s="423"/>
      <c r="L82" s="424" t="s">
        <v>500</v>
      </c>
      <c r="M82" s="423"/>
      <c r="N82" s="167"/>
    </row>
    <row r="83" spans="2:14" ht="53.5" customHeight="1" x14ac:dyDescent="0.35">
      <c r="B83" s="165"/>
      <c r="C83" s="425" t="s">
        <v>311</v>
      </c>
      <c r="D83" s="426"/>
      <c r="E83" s="429" t="s">
        <v>312</v>
      </c>
      <c r="F83" s="430"/>
      <c r="G83" s="430"/>
      <c r="H83" s="431"/>
      <c r="I83" s="429" t="s">
        <v>313</v>
      </c>
      <c r="J83" s="430"/>
      <c r="K83" s="431"/>
      <c r="L83" s="432" t="s">
        <v>314</v>
      </c>
      <c r="M83" s="433"/>
      <c r="N83" s="167"/>
    </row>
    <row r="84" spans="2:14" ht="65" customHeight="1" x14ac:dyDescent="0.35">
      <c r="B84" s="165"/>
      <c r="C84" s="427"/>
      <c r="D84" s="428"/>
      <c r="E84" s="436" t="s">
        <v>315</v>
      </c>
      <c r="F84" s="437"/>
      <c r="G84" s="437"/>
      <c r="H84" s="438"/>
      <c r="I84" s="427" t="s">
        <v>316</v>
      </c>
      <c r="J84" s="439"/>
      <c r="K84" s="428"/>
      <c r="L84" s="434"/>
      <c r="M84" s="435"/>
      <c r="N84" s="167"/>
    </row>
    <row r="85" spans="2:14" ht="74" customHeight="1" x14ac:dyDescent="0.35">
      <c r="B85" s="165"/>
      <c r="C85" s="425" t="s">
        <v>317</v>
      </c>
      <c r="D85" s="426"/>
      <c r="E85" s="429" t="s">
        <v>318</v>
      </c>
      <c r="F85" s="430"/>
      <c r="G85" s="430"/>
      <c r="H85" s="431"/>
      <c r="I85" s="429" t="s">
        <v>218</v>
      </c>
      <c r="J85" s="430"/>
      <c r="K85" s="431"/>
      <c r="L85" s="430" t="s">
        <v>219</v>
      </c>
      <c r="M85" s="431"/>
      <c r="N85" s="167"/>
    </row>
    <row r="86" spans="2:14" ht="45" customHeight="1" x14ac:dyDescent="0.35">
      <c r="B86" s="165"/>
      <c r="C86" s="448"/>
      <c r="D86" s="449"/>
      <c r="E86" s="452" t="s">
        <v>319</v>
      </c>
      <c r="F86" s="453"/>
      <c r="G86" s="453"/>
      <c r="H86" s="454"/>
      <c r="I86" s="455" t="s">
        <v>220</v>
      </c>
      <c r="J86" s="450"/>
      <c r="K86" s="451"/>
      <c r="L86" s="450"/>
      <c r="M86" s="451"/>
      <c r="N86" s="167"/>
    </row>
    <row r="87" spans="2:14" ht="50" customHeight="1" x14ac:dyDescent="0.35">
      <c r="B87" s="165"/>
      <c r="C87" s="427"/>
      <c r="D87" s="428"/>
      <c r="E87" s="436"/>
      <c r="F87" s="437"/>
      <c r="G87" s="437"/>
      <c r="H87" s="438"/>
      <c r="I87" s="436" t="s">
        <v>221</v>
      </c>
      <c r="J87" s="437"/>
      <c r="K87" s="438"/>
      <c r="L87" s="437"/>
      <c r="M87" s="438"/>
      <c r="N87" s="167"/>
    </row>
    <row r="88" spans="2:14" ht="47" customHeight="1" x14ac:dyDescent="0.35">
      <c r="B88" s="165"/>
      <c r="C88" s="425" t="s">
        <v>320</v>
      </c>
      <c r="D88" s="426"/>
      <c r="E88" s="456" t="s">
        <v>321</v>
      </c>
      <c r="F88" s="432"/>
      <c r="G88" s="432"/>
      <c r="H88" s="433"/>
      <c r="I88" s="429" t="s">
        <v>322</v>
      </c>
      <c r="J88" s="430"/>
      <c r="K88" s="431"/>
      <c r="L88" s="432" t="s">
        <v>323</v>
      </c>
      <c r="M88" s="433"/>
      <c r="N88" s="167"/>
    </row>
    <row r="89" spans="2:14" ht="33" customHeight="1" x14ac:dyDescent="0.35">
      <c r="B89" s="165"/>
      <c r="C89" s="448"/>
      <c r="D89" s="449"/>
      <c r="E89" s="452" t="s">
        <v>324</v>
      </c>
      <c r="F89" s="453"/>
      <c r="G89" s="453"/>
      <c r="H89" s="454"/>
      <c r="I89" s="452"/>
      <c r="J89" s="453"/>
      <c r="K89" s="454"/>
      <c r="L89" s="453"/>
      <c r="M89" s="454"/>
      <c r="N89" s="167"/>
    </row>
    <row r="90" spans="2:14" ht="38" customHeight="1" x14ac:dyDescent="0.35">
      <c r="B90" s="165"/>
      <c r="C90" s="427"/>
      <c r="D90" s="428"/>
      <c r="E90" s="436" t="s">
        <v>222</v>
      </c>
      <c r="F90" s="437"/>
      <c r="G90" s="437"/>
      <c r="H90" s="438"/>
      <c r="I90" s="457"/>
      <c r="J90" s="434"/>
      <c r="K90" s="435"/>
      <c r="L90" s="434"/>
      <c r="M90" s="435"/>
      <c r="N90" s="167"/>
    </row>
    <row r="91" spans="2:14" ht="48" customHeight="1" x14ac:dyDescent="0.35">
      <c r="B91" s="165"/>
      <c r="C91" s="425" t="s">
        <v>325</v>
      </c>
      <c r="D91" s="426"/>
      <c r="E91" s="456" t="s">
        <v>326</v>
      </c>
      <c r="F91" s="432"/>
      <c r="G91" s="432"/>
      <c r="H91" s="433"/>
      <c r="I91" s="429" t="s">
        <v>327</v>
      </c>
      <c r="J91" s="430"/>
      <c r="K91" s="431"/>
      <c r="L91" s="430" t="s">
        <v>223</v>
      </c>
      <c r="M91" s="431"/>
      <c r="N91" s="167"/>
    </row>
    <row r="92" spans="2:14" ht="63" customHeight="1" x14ac:dyDescent="0.35">
      <c r="B92" s="165"/>
      <c r="C92" s="448"/>
      <c r="D92" s="449"/>
      <c r="E92" s="455" t="s">
        <v>224</v>
      </c>
      <c r="F92" s="450"/>
      <c r="G92" s="450"/>
      <c r="H92" s="451"/>
      <c r="I92" s="455" t="s">
        <v>225</v>
      </c>
      <c r="J92" s="450"/>
      <c r="K92" s="451"/>
      <c r="L92" s="450"/>
      <c r="M92" s="451"/>
      <c r="N92" s="167"/>
    </row>
    <row r="93" spans="2:14" ht="23" customHeight="1" x14ac:dyDescent="0.35">
      <c r="B93" s="165"/>
      <c r="C93" s="427"/>
      <c r="D93" s="428"/>
      <c r="E93" s="436"/>
      <c r="F93" s="437"/>
      <c r="G93" s="437"/>
      <c r="H93" s="438"/>
      <c r="I93" s="436" t="s">
        <v>226</v>
      </c>
      <c r="J93" s="437"/>
      <c r="K93" s="438"/>
      <c r="L93" s="437"/>
      <c r="M93" s="438"/>
      <c r="N93" s="167"/>
    </row>
    <row r="94" spans="2:14" ht="50" customHeight="1" x14ac:dyDescent="0.35">
      <c r="B94" s="165"/>
      <c r="C94" s="425" t="s">
        <v>328</v>
      </c>
      <c r="D94" s="426"/>
      <c r="E94" s="429" t="s">
        <v>329</v>
      </c>
      <c r="F94" s="430"/>
      <c r="G94" s="430"/>
      <c r="H94" s="431"/>
      <c r="I94" s="429" t="s">
        <v>227</v>
      </c>
      <c r="J94" s="430"/>
      <c r="K94" s="431"/>
      <c r="L94" s="430" t="s">
        <v>330</v>
      </c>
      <c r="M94" s="431"/>
      <c r="N94" s="167"/>
    </row>
    <row r="95" spans="2:14" ht="43" customHeight="1" x14ac:dyDescent="0.35">
      <c r="B95" s="165"/>
      <c r="C95" s="448"/>
      <c r="D95" s="449"/>
      <c r="E95" s="455" t="s">
        <v>331</v>
      </c>
      <c r="F95" s="450"/>
      <c r="G95" s="450"/>
      <c r="H95" s="451"/>
      <c r="I95" s="455" t="s">
        <v>228</v>
      </c>
      <c r="J95" s="450"/>
      <c r="K95" s="451"/>
      <c r="L95" s="450"/>
      <c r="M95" s="451"/>
      <c r="N95" s="167"/>
    </row>
    <row r="96" spans="2:14" ht="46" customHeight="1" x14ac:dyDescent="0.35">
      <c r="B96" s="165"/>
      <c r="C96" s="427"/>
      <c r="D96" s="428"/>
      <c r="E96" s="436" t="s">
        <v>229</v>
      </c>
      <c r="F96" s="437"/>
      <c r="G96" s="437"/>
      <c r="H96" s="438"/>
      <c r="I96" s="436" t="s">
        <v>230</v>
      </c>
      <c r="J96" s="437"/>
      <c r="K96" s="438"/>
      <c r="L96" s="437"/>
      <c r="M96" s="438"/>
      <c r="N96" s="167"/>
    </row>
    <row r="97" spans="2:14" ht="52" customHeight="1" x14ac:dyDescent="0.35">
      <c r="B97" s="165"/>
      <c r="C97" s="425" t="s">
        <v>332</v>
      </c>
      <c r="D97" s="426"/>
      <c r="E97" s="429" t="s">
        <v>333</v>
      </c>
      <c r="F97" s="430"/>
      <c r="G97" s="430"/>
      <c r="H97" s="431"/>
      <c r="I97" s="429" t="s">
        <v>231</v>
      </c>
      <c r="J97" s="430"/>
      <c r="K97" s="431"/>
      <c r="L97" s="430" t="s">
        <v>232</v>
      </c>
      <c r="M97" s="431"/>
      <c r="N97" s="167"/>
    </row>
    <row r="98" spans="2:14" ht="37" customHeight="1" x14ac:dyDescent="0.35">
      <c r="B98" s="165"/>
      <c r="C98" s="427"/>
      <c r="D98" s="428"/>
      <c r="E98" s="436" t="s">
        <v>233</v>
      </c>
      <c r="F98" s="437"/>
      <c r="G98" s="437"/>
      <c r="H98" s="438"/>
      <c r="I98" s="436" t="s">
        <v>334</v>
      </c>
      <c r="J98" s="437"/>
      <c r="K98" s="438"/>
      <c r="L98" s="437"/>
      <c r="M98" s="438"/>
      <c r="N98" s="167"/>
    </row>
    <row r="99" spans="2:14" ht="71" customHeight="1" x14ac:dyDescent="0.35">
      <c r="B99" s="165"/>
      <c r="C99" s="425" t="s">
        <v>335</v>
      </c>
      <c r="D99" s="426"/>
      <c r="E99" s="429" t="s">
        <v>336</v>
      </c>
      <c r="F99" s="430"/>
      <c r="G99" s="430"/>
      <c r="H99" s="431"/>
      <c r="I99" s="429" t="s">
        <v>234</v>
      </c>
      <c r="J99" s="430"/>
      <c r="K99" s="431"/>
      <c r="L99" s="430" t="s">
        <v>235</v>
      </c>
      <c r="M99" s="431"/>
      <c r="N99" s="167"/>
    </row>
    <row r="100" spans="2:14" ht="51" customHeight="1" x14ac:dyDescent="0.35">
      <c r="B100" s="165"/>
      <c r="C100" s="448"/>
      <c r="D100" s="449"/>
      <c r="E100" s="455" t="s">
        <v>236</v>
      </c>
      <c r="F100" s="450"/>
      <c r="G100" s="450"/>
      <c r="H100" s="451"/>
      <c r="I100" s="455" t="s">
        <v>237</v>
      </c>
      <c r="J100" s="450"/>
      <c r="K100" s="451"/>
      <c r="L100" s="450"/>
      <c r="M100" s="451"/>
      <c r="N100" s="167"/>
    </row>
    <row r="101" spans="2:14" ht="31" customHeight="1" x14ac:dyDescent="0.35">
      <c r="B101" s="165"/>
      <c r="C101" s="427"/>
      <c r="D101" s="428"/>
      <c r="E101" s="436" t="s">
        <v>238</v>
      </c>
      <c r="F101" s="437"/>
      <c r="G101" s="437"/>
      <c r="H101" s="438"/>
      <c r="I101" s="436"/>
      <c r="J101" s="437"/>
      <c r="K101" s="438"/>
      <c r="L101" s="437"/>
      <c r="M101" s="438"/>
      <c r="N101" s="167"/>
    </row>
    <row r="102" spans="2:14" ht="60" customHeight="1" x14ac:dyDescent="0.35">
      <c r="B102" s="165"/>
      <c r="C102" s="458" t="s">
        <v>337</v>
      </c>
      <c r="D102" s="459"/>
      <c r="E102" s="436" t="s">
        <v>338</v>
      </c>
      <c r="F102" s="437"/>
      <c r="G102" s="437"/>
      <c r="H102" s="438"/>
      <c r="I102" s="436" t="s">
        <v>339</v>
      </c>
      <c r="J102" s="437"/>
      <c r="K102" s="438"/>
      <c r="L102" s="437" t="s">
        <v>239</v>
      </c>
      <c r="M102" s="438"/>
      <c r="N102" s="167"/>
    </row>
    <row r="103" spans="2:14" x14ac:dyDescent="0.35">
      <c r="B103" s="165"/>
      <c r="C103" s="166"/>
      <c r="D103" s="166"/>
      <c r="E103" s="166"/>
      <c r="F103" s="166"/>
      <c r="G103" s="166"/>
      <c r="H103" s="166"/>
      <c r="I103" s="166"/>
      <c r="J103" s="166"/>
      <c r="K103" s="166"/>
      <c r="L103" s="166"/>
      <c r="M103" s="166"/>
      <c r="N103" s="167"/>
    </row>
    <row r="104" spans="2:14" x14ac:dyDescent="0.35">
      <c r="B104" s="165"/>
      <c r="C104" s="166" t="s">
        <v>217</v>
      </c>
      <c r="D104" s="166"/>
      <c r="E104" s="166"/>
      <c r="F104" s="166"/>
      <c r="G104" s="166"/>
      <c r="H104" s="166"/>
      <c r="I104" s="166"/>
      <c r="J104" s="166"/>
      <c r="K104" s="166"/>
      <c r="L104" s="166"/>
      <c r="M104" s="166"/>
      <c r="N104" s="167"/>
    </row>
    <row r="105" spans="2:14" x14ac:dyDescent="0.35">
      <c r="B105" s="165"/>
      <c r="C105" s="166"/>
      <c r="D105" s="166"/>
      <c r="E105" s="166"/>
      <c r="F105" s="166"/>
      <c r="G105" s="166"/>
      <c r="H105" s="166"/>
      <c r="I105" s="166"/>
      <c r="J105" s="166"/>
      <c r="K105" s="166"/>
      <c r="L105" s="166"/>
      <c r="M105" s="166"/>
      <c r="N105" s="167"/>
    </row>
    <row r="106" spans="2:14" x14ac:dyDescent="0.35">
      <c r="B106" s="165"/>
      <c r="C106" s="166"/>
      <c r="D106" s="166"/>
      <c r="E106" s="166"/>
      <c r="F106" s="166"/>
      <c r="G106" s="166"/>
      <c r="H106" s="166"/>
      <c r="I106" s="166"/>
      <c r="J106" s="166"/>
      <c r="K106" s="166"/>
      <c r="L106" s="166"/>
      <c r="M106" s="166"/>
      <c r="N106" s="167"/>
    </row>
    <row r="107" spans="2:14" x14ac:dyDescent="0.35">
      <c r="B107" s="165"/>
      <c r="C107" s="166"/>
      <c r="D107" s="166"/>
      <c r="E107" s="166"/>
      <c r="F107" s="166"/>
      <c r="G107" s="166"/>
      <c r="H107" s="166"/>
      <c r="I107" s="166"/>
      <c r="J107" s="166"/>
      <c r="K107" s="166"/>
      <c r="L107" s="166"/>
      <c r="M107" s="166"/>
      <c r="N107" s="167"/>
    </row>
    <row r="108" spans="2:14" x14ac:dyDescent="0.35">
      <c r="B108" s="165"/>
      <c r="C108" s="166"/>
      <c r="D108" s="166"/>
      <c r="E108" s="166"/>
      <c r="F108" s="166"/>
      <c r="G108" s="166"/>
      <c r="H108" s="166"/>
      <c r="I108" s="166"/>
      <c r="J108" s="166"/>
      <c r="K108" s="166"/>
      <c r="L108" s="166"/>
      <c r="M108" s="166"/>
      <c r="N108" s="167"/>
    </row>
    <row r="109" spans="2:14" x14ac:dyDescent="0.35">
      <c r="B109" s="165"/>
      <c r="C109" s="166"/>
      <c r="D109" s="166"/>
      <c r="E109" s="166"/>
      <c r="F109" s="166"/>
      <c r="G109" s="166"/>
      <c r="H109" s="166"/>
      <c r="I109" s="166"/>
      <c r="J109" s="166"/>
      <c r="K109" s="166"/>
      <c r="L109" s="166"/>
      <c r="M109" s="166"/>
      <c r="N109" s="167"/>
    </row>
    <row r="110" spans="2:14" x14ac:dyDescent="0.35">
      <c r="B110" s="165"/>
      <c r="C110" s="166"/>
      <c r="D110" s="166"/>
      <c r="E110" s="166"/>
      <c r="F110" s="166"/>
      <c r="G110" s="166"/>
      <c r="H110" s="166"/>
      <c r="I110" s="166"/>
      <c r="J110" s="166"/>
      <c r="K110" s="166"/>
      <c r="L110" s="166"/>
      <c r="M110" s="166"/>
      <c r="N110" s="167"/>
    </row>
    <row r="111" spans="2:14" x14ac:dyDescent="0.35">
      <c r="B111" s="165"/>
      <c r="C111" s="166"/>
      <c r="D111" s="166"/>
      <c r="E111" s="166"/>
      <c r="F111" s="166"/>
      <c r="G111" s="166"/>
      <c r="H111" s="166"/>
      <c r="I111" s="166"/>
      <c r="J111" s="166"/>
      <c r="K111" s="166"/>
      <c r="L111" s="166"/>
      <c r="M111" s="166"/>
      <c r="N111" s="167"/>
    </row>
    <row r="112" spans="2:14" x14ac:dyDescent="0.35">
      <c r="B112" s="165"/>
      <c r="C112" s="166"/>
      <c r="D112" s="166"/>
      <c r="E112" s="166"/>
      <c r="F112" s="166"/>
      <c r="G112" s="166"/>
      <c r="H112" s="166"/>
      <c r="I112" s="166"/>
      <c r="J112" s="166"/>
      <c r="K112" s="166"/>
      <c r="L112" s="166"/>
      <c r="M112" s="166"/>
      <c r="N112" s="167"/>
    </row>
    <row r="113" spans="2:14" x14ac:dyDescent="0.35">
      <c r="B113" s="165"/>
      <c r="C113" s="166"/>
      <c r="D113" s="166"/>
      <c r="E113" s="166"/>
      <c r="F113" s="166"/>
      <c r="G113" s="166"/>
      <c r="H113" s="166"/>
      <c r="I113" s="166"/>
      <c r="J113" s="166"/>
      <c r="K113" s="166"/>
      <c r="L113" s="166"/>
      <c r="M113" s="166"/>
      <c r="N113" s="167"/>
    </row>
    <row r="114" spans="2:14" x14ac:dyDescent="0.35">
      <c r="B114" s="165"/>
      <c r="C114" s="166"/>
      <c r="D114" s="166"/>
      <c r="E114" s="166"/>
      <c r="F114" s="166"/>
      <c r="G114" s="166"/>
      <c r="H114" s="166"/>
      <c r="I114" s="166"/>
      <c r="J114" s="166"/>
      <c r="K114" s="166"/>
      <c r="L114" s="166"/>
      <c r="M114" s="166"/>
      <c r="N114" s="167"/>
    </row>
    <row r="115" spans="2:14" x14ac:dyDescent="0.35">
      <c r="B115" s="165"/>
      <c r="C115" s="166"/>
      <c r="D115" s="166"/>
      <c r="E115" s="166"/>
      <c r="F115" s="166"/>
      <c r="G115" s="166"/>
      <c r="H115" s="166"/>
      <c r="I115" s="166"/>
      <c r="J115" s="166"/>
      <c r="K115" s="166"/>
      <c r="L115" s="166"/>
      <c r="M115" s="166"/>
      <c r="N115" s="167"/>
    </row>
    <row r="116" spans="2:14" x14ac:dyDescent="0.35">
      <c r="B116" s="165"/>
      <c r="C116" s="166"/>
      <c r="D116" s="166"/>
      <c r="E116" s="166"/>
      <c r="F116" s="166"/>
      <c r="G116" s="166"/>
      <c r="H116" s="166"/>
      <c r="I116" s="166"/>
      <c r="J116" s="166"/>
      <c r="K116" s="166"/>
      <c r="L116" s="166"/>
      <c r="M116" s="166"/>
      <c r="N116" s="167"/>
    </row>
    <row r="117" spans="2:14" x14ac:dyDescent="0.35">
      <c r="B117" s="165"/>
      <c r="C117" s="166"/>
      <c r="D117" s="166"/>
      <c r="E117" s="166"/>
      <c r="F117" s="166"/>
      <c r="G117" s="166"/>
      <c r="H117" s="166"/>
      <c r="I117" s="166"/>
      <c r="J117" s="166"/>
      <c r="K117" s="166"/>
      <c r="L117" s="166"/>
      <c r="M117" s="166"/>
      <c r="N117" s="167"/>
    </row>
    <row r="118" spans="2:14" x14ac:dyDescent="0.35">
      <c r="B118" s="165"/>
      <c r="C118" s="166"/>
      <c r="D118" s="166"/>
      <c r="E118" s="166"/>
      <c r="F118" s="166"/>
      <c r="G118" s="166"/>
      <c r="H118" s="166"/>
      <c r="I118" s="166"/>
      <c r="J118" s="166"/>
      <c r="K118" s="166"/>
      <c r="L118" s="166"/>
      <c r="M118" s="166"/>
      <c r="N118" s="167"/>
    </row>
    <row r="119" spans="2:14" x14ac:dyDescent="0.35">
      <c r="B119" s="165"/>
      <c r="C119" s="166"/>
      <c r="D119" s="166"/>
      <c r="E119" s="166"/>
      <c r="F119" s="166"/>
      <c r="G119" s="166"/>
      <c r="H119" s="166"/>
      <c r="I119" s="166"/>
      <c r="J119" s="166"/>
      <c r="K119" s="166"/>
      <c r="L119" s="166"/>
      <c r="M119" s="166"/>
      <c r="N119" s="167"/>
    </row>
    <row r="120" spans="2:14" x14ac:dyDescent="0.35">
      <c r="B120" s="165"/>
      <c r="C120" s="166"/>
      <c r="D120" s="166"/>
      <c r="E120" s="166"/>
      <c r="F120" s="166"/>
      <c r="G120" s="166"/>
      <c r="H120" s="166"/>
      <c r="I120" s="166"/>
      <c r="J120" s="166"/>
      <c r="K120" s="166"/>
      <c r="L120" s="166"/>
      <c r="M120" s="166"/>
      <c r="N120" s="167"/>
    </row>
    <row r="121" spans="2:14" x14ac:dyDescent="0.35">
      <c r="B121" s="165"/>
      <c r="C121" s="166"/>
      <c r="D121" s="166"/>
      <c r="E121" s="166"/>
      <c r="F121" s="166"/>
      <c r="G121" s="166"/>
      <c r="H121" s="166"/>
      <c r="I121" s="166"/>
      <c r="J121" s="166"/>
      <c r="K121" s="166"/>
      <c r="L121" s="166"/>
      <c r="M121" s="166"/>
      <c r="N121" s="167"/>
    </row>
    <row r="122" spans="2:14" x14ac:dyDescent="0.35">
      <c r="B122" s="165"/>
      <c r="C122" s="166"/>
      <c r="D122" s="166"/>
      <c r="E122" s="166"/>
      <c r="F122" s="166"/>
      <c r="G122" s="166"/>
      <c r="H122" s="166"/>
      <c r="I122" s="166"/>
      <c r="J122" s="166"/>
      <c r="K122" s="166"/>
      <c r="L122" s="166"/>
      <c r="M122" s="166"/>
      <c r="N122" s="167"/>
    </row>
    <row r="123" spans="2:14" x14ac:dyDescent="0.35">
      <c r="B123" s="165"/>
      <c r="C123" s="166"/>
      <c r="D123" s="166"/>
      <c r="E123" s="166"/>
      <c r="F123" s="166"/>
      <c r="G123" s="166"/>
      <c r="H123" s="166"/>
      <c r="I123" s="166"/>
      <c r="J123" s="166"/>
      <c r="K123" s="166"/>
      <c r="L123" s="166"/>
      <c r="M123" s="166"/>
      <c r="N123" s="167"/>
    </row>
    <row r="124" spans="2:14" x14ac:dyDescent="0.35">
      <c r="B124" s="165"/>
      <c r="C124" s="166"/>
      <c r="D124" s="166"/>
      <c r="E124" s="166"/>
      <c r="F124" s="166"/>
      <c r="G124" s="166"/>
      <c r="H124" s="166"/>
      <c r="I124" s="166"/>
      <c r="J124" s="166"/>
      <c r="K124" s="166"/>
      <c r="L124" s="166"/>
      <c r="M124" s="166"/>
      <c r="N124" s="167"/>
    </row>
    <row r="125" spans="2:14" x14ac:dyDescent="0.35">
      <c r="B125" s="165"/>
      <c r="C125" s="166"/>
      <c r="D125" s="166"/>
      <c r="E125" s="166"/>
      <c r="F125" s="166"/>
      <c r="G125" s="166"/>
      <c r="H125" s="166"/>
      <c r="I125" s="166"/>
      <c r="J125" s="166"/>
      <c r="K125" s="166"/>
      <c r="L125" s="166"/>
      <c r="M125" s="166"/>
      <c r="N125" s="167"/>
    </row>
    <row r="126" spans="2:14" x14ac:dyDescent="0.35">
      <c r="B126" s="165"/>
      <c r="C126" s="166"/>
      <c r="D126" s="166"/>
      <c r="E126" s="166"/>
      <c r="F126" s="166"/>
      <c r="G126" s="166"/>
      <c r="H126" s="166"/>
      <c r="I126" s="166"/>
      <c r="J126" s="166"/>
      <c r="K126" s="166"/>
      <c r="L126" s="166"/>
      <c r="M126" s="166"/>
      <c r="N126" s="167"/>
    </row>
    <row r="127" spans="2:14" x14ac:dyDescent="0.35">
      <c r="B127" s="165"/>
      <c r="C127" s="166"/>
      <c r="D127" s="166"/>
      <c r="E127" s="166"/>
      <c r="F127" s="166"/>
      <c r="G127" s="166"/>
      <c r="H127" s="166"/>
      <c r="I127" s="166"/>
      <c r="J127" s="166"/>
      <c r="K127" s="166"/>
      <c r="L127" s="166"/>
      <c r="M127" s="166"/>
      <c r="N127" s="167"/>
    </row>
    <row r="128" spans="2:14" x14ac:dyDescent="0.35">
      <c r="B128" s="165"/>
      <c r="C128" s="166"/>
      <c r="D128" s="166"/>
      <c r="E128" s="166"/>
      <c r="F128" s="166"/>
      <c r="G128" s="166"/>
      <c r="H128" s="166"/>
      <c r="I128" s="166"/>
      <c r="J128" s="166"/>
      <c r="K128" s="166"/>
      <c r="L128" s="166"/>
      <c r="M128" s="166"/>
      <c r="N128" s="167"/>
    </row>
    <row r="129" spans="1:14" x14ac:dyDescent="0.35">
      <c r="B129" s="165"/>
      <c r="C129" s="166"/>
      <c r="D129" s="166"/>
      <c r="E129" s="166"/>
      <c r="F129" s="166"/>
      <c r="G129" s="166"/>
      <c r="H129" s="166"/>
      <c r="I129" s="166"/>
      <c r="J129" s="166"/>
      <c r="K129" s="166"/>
      <c r="L129" s="166"/>
      <c r="M129" s="166"/>
      <c r="N129" s="167"/>
    </row>
    <row r="130" spans="1:14" x14ac:dyDescent="0.35">
      <c r="B130" s="165"/>
      <c r="C130" s="166"/>
      <c r="D130" s="166"/>
      <c r="E130" s="166"/>
      <c r="F130" s="166"/>
      <c r="G130" s="166"/>
      <c r="H130" s="166"/>
      <c r="I130" s="166"/>
      <c r="J130" s="166"/>
      <c r="K130" s="166"/>
      <c r="L130" s="166"/>
      <c r="M130" s="166"/>
      <c r="N130" s="167"/>
    </row>
    <row r="131" spans="1:14" x14ac:dyDescent="0.35">
      <c r="B131" s="165"/>
      <c r="C131" s="166"/>
      <c r="D131" s="166"/>
      <c r="E131" s="166"/>
      <c r="F131" s="166"/>
      <c r="G131" s="166"/>
      <c r="H131" s="166"/>
      <c r="I131" s="166"/>
      <c r="J131" s="166"/>
      <c r="K131" s="166"/>
      <c r="L131" s="166"/>
      <c r="M131" s="166"/>
      <c r="N131" s="167"/>
    </row>
    <row r="132" spans="1:14" x14ac:dyDescent="0.35">
      <c r="B132" s="165"/>
      <c r="C132" s="166"/>
      <c r="D132" s="166"/>
      <c r="E132" s="166"/>
      <c r="F132" s="166"/>
      <c r="G132" s="166"/>
      <c r="H132" s="166"/>
      <c r="I132" s="166"/>
      <c r="J132" s="166"/>
      <c r="K132" s="166"/>
      <c r="L132" s="166"/>
      <c r="M132" s="166"/>
      <c r="N132" s="167"/>
    </row>
    <row r="133" spans="1:14" x14ac:dyDescent="0.35">
      <c r="B133" s="165"/>
      <c r="C133" s="166"/>
      <c r="D133" s="166"/>
      <c r="E133" s="166"/>
      <c r="F133" s="166"/>
      <c r="G133" s="166"/>
      <c r="H133" s="166"/>
      <c r="I133" s="166"/>
      <c r="J133" s="166"/>
      <c r="K133" s="166"/>
      <c r="L133" s="166"/>
      <c r="M133" s="166"/>
      <c r="N133" s="167"/>
    </row>
    <row r="134" spans="1:14" x14ac:dyDescent="0.35">
      <c r="B134" s="165"/>
      <c r="C134" s="166"/>
      <c r="D134" s="166"/>
      <c r="E134" s="166"/>
      <c r="F134" s="166"/>
      <c r="G134" s="166"/>
      <c r="H134" s="166"/>
      <c r="I134" s="166"/>
      <c r="J134" s="166"/>
      <c r="K134" s="166"/>
      <c r="L134" s="166"/>
      <c r="M134" s="166"/>
      <c r="N134" s="167"/>
    </row>
    <row r="135" spans="1:14" x14ac:dyDescent="0.35">
      <c r="B135" s="165"/>
      <c r="C135" s="166"/>
      <c r="D135" s="166"/>
      <c r="E135" s="166"/>
      <c r="F135" s="166"/>
      <c r="G135" s="166"/>
      <c r="H135" s="166"/>
      <c r="I135" s="166"/>
      <c r="J135" s="166"/>
      <c r="K135" s="166"/>
      <c r="L135" s="166"/>
      <c r="M135" s="166"/>
      <c r="N135" s="167"/>
    </row>
    <row r="136" spans="1:14" x14ac:dyDescent="0.35">
      <c r="B136" s="165"/>
      <c r="C136" s="166"/>
      <c r="D136" s="166"/>
      <c r="E136" s="166"/>
      <c r="F136" s="166"/>
      <c r="G136" s="166"/>
      <c r="H136" s="166"/>
      <c r="I136" s="166"/>
      <c r="J136" s="166"/>
      <c r="K136" s="166"/>
      <c r="L136" s="166"/>
      <c r="M136" s="166"/>
      <c r="N136" s="167"/>
    </row>
    <row r="137" spans="1:14" x14ac:dyDescent="0.35">
      <c r="B137" s="165"/>
      <c r="C137" s="166"/>
      <c r="D137" s="166"/>
      <c r="E137" s="166"/>
      <c r="F137" s="166"/>
      <c r="G137" s="166"/>
      <c r="H137" s="166"/>
      <c r="I137" s="166"/>
      <c r="J137" s="166"/>
      <c r="K137" s="166"/>
      <c r="L137" s="166"/>
      <c r="M137" s="166"/>
      <c r="N137" s="167"/>
    </row>
    <row r="138" spans="1:14" x14ac:dyDescent="0.35">
      <c r="B138" s="165"/>
      <c r="C138" s="166"/>
      <c r="D138" s="166"/>
      <c r="E138" s="166"/>
      <c r="F138" s="166"/>
      <c r="G138" s="166"/>
      <c r="H138" s="166"/>
      <c r="I138" s="166"/>
      <c r="J138" s="166"/>
      <c r="K138" s="166"/>
      <c r="L138" s="166"/>
      <c r="M138" s="166"/>
      <c r="N138" s="167"/>
    </row>
    <row r="139" spans="1:14" s="24" customFormat="1" x14ac:dyDescent="0.35">
      <c r="A139" s="169"/>
      <c r="B139" s="165"/>
      <c r="C139" s="168" t="s">
        <v>492</v>
      </c>
      <c r="D139" s="154"/>
      <c r="E139" s="154"/>
      <c r="F139" s="154"/>
      <c r="G139" s="154"/>
      <c r="H139" s="154"/>
      <c r="I139" s="154"/>
      <c r="J139" s="154"/>
      <c r="K139" s="154"/>
      <c r="L139" s="154"/>
      <c r="M139" s="154"/>
      <c r="N139" s="167"/>
    </row>
    <row r="140" spans="1:14" x14ac:dyDescent="0.35">
      <c r="B140" s="165"/>
      <c r="C140" s="166"/>
      <c r="D140" s="166"/>
      <c r="E140" s="166"/>
      <c r="F140" s="166"/>
      <c r="G140" s="166"/>
      <c r="H140" s="166"/>
      <c r="I140" s="166"/>
      <c r="J140" s="166"/>
      <c r="K140" s="166"/>
      <c r="L140" s="166"/>
      <c r="M140" s="166"/>
      <c r="N140" s="167"/>
    </row>
    <row r="141" spans="1:14" ht="14.5" customHeight="1" x14ac:dyDescent="0.35">
      <c r="B141" s="165"/>
      <c r="C141" s="444" t="s">
        <v>582</v>
      </c>
      <c r="D141" s="444"/>
      <c r="E141" s="444"/>
      <c r="F141" s="444"/>
      <c r="G141" s="444"/>
      <c r="H141" s="444"/>
      <c r="I141" s="444"/>
      <c r="J141" s="444"/>
      <c r="K141" s="444"/>
      <c r="L141" s="444"/>
      <c r="M141" s="444"/>
      <c r="N141" s="167"/>
    </row>
    <row r="142" spans="1:14" x14ac:dyDescent="0.35">
      <c r="B142" s="165"/>
      <c r="C142" s="444"/>
      <c r="D142" s="444"/>
      <c r="E142" s="444"/>
      <c r="F142" s="444"/>
      <c r="G142" s="444"/>
      <c r="H142" s="444"/>
      <c r="I142" s="444"/>
      <c r="J142" s="444"/>
      <c r="K142" s="444"/>
      <c r="L142" s="444"/>
      <c r="M142" s="444"/>
      <c r="N142" s="167"/>
    </row>
    <row r="143" spans="1:14" x14ac:dyDescent="0.35">
      <c r="B143" s="165"/>
      <c r="C143" s="444"/>
      <c r="D143" s="444"/>
      <c r="E143" s="444"/>
      <c r="F143" s="444"/>
      <c r="G143" s="444"/>
      <c r="H143" s="444"/>
      <c r="I143" s="444"/>
      <c r="J143" s="444"/>
      <c r="K143" s="444"/>
      <c r="L143" s="444"/>
      <c r="M143" s="444"/>
      <c r="N143" s="167"/>
    </row>
    <row r="144" spans="1:14" x14ac:dyDescent="0.35">
      <c r="B144" s="165"/>
      <c r="C144" s="166"/>
      <c r="D144" s="166"/>
      <c r="E144" s="166"/>
      <c r="F144" s="166"/>
      <c r="G144" s="166"/>
      <c r="H144" s="166"/>
      <c r="I144" s="166"/>
      <c r="J144" s="166"/>
      <c r="K144" s="166"/>
      <c r="L144" s="166"/>
      <c r="M144" s="166"/>
      <c r="N144" s="167"/>
    </row>
    <row r="145" spans="2:14" ht="14.5" customHeight="1" x14ac:dyDescent="0.35">
      <c r="B145" s="165"/>
      <c r="C145" s="444" t="s">
        <v>660</v>
      </c>
      <c r="D145" s="444"/>
      <c r="E145" s="444"/>
      <c r="F145" s="444"/>
      <c r="G145" s="444"/>
      <c r="H145" s="444"/>
      <c r="I145" s="444"/>
      <c r="J145" s="444"/>
      <c r="K145" s="444"/>
      <c r="L145" s="444"/>
      <c r="M145" s="444"/>
      <c r="N145" s="167"/>
    </row>
    <row r="146" spans="2:14" x14ac:dyDescent="0.35">
      <c r="B146" s="165"/>
      <c r="C146" s="444"/>
      <c r="D146" s="444"/>
      <c r="E146" s="444"/>
      <c r="F146" s="444"/>
      <c r="G146" s="444"/>
      <c r="H146" s="444"/>
      <c r="I146" s="444"/>
      <c r="J146" s="444"/>
      <c r="K146" s="444"/>
      <c r="L146" s="444"/>
      <c r="M146" s="444"/>
      <c r="N146" s="167"/>
    </row>
    <row r="147" spans="2:14" x14ac:dyDescent="0.35">
      <c r="B147" s="165"/>
      <c r="C147" s="444"/>
      <c r="D147" s="444"/>
      <c r="E147" s="444"/>
      <c r="F147" s="444"/>
      <c r="G147" s="444"/>
      <c r="H147" s="444"/>
      <c r="I147" s="444"/>
      <c r="J147" s="444"/>
      <c r="K147" s="444"/>
      <c r="L147" s="444"/>
      <c r="M147" s="444"/>
      <c r="N147" s="167"/>
    </row>
    <row r="148" spans="2:14" x14ac:dyDescent="0.35">
      <c r="B148" s="165"/>
      <c r="C148" s="444"/>
      <c r="D148" s="444"/>
      <c r="E148" s="444"/>
      <c r="F148" s="444"/>
      <c r="G148" s="444"/>
      <c r="H148" s="444"/>
      <c r="I148" s="444"/>
      <c r="J148" s="444"/>
      <c r="K148" s="444"/>
      <c r="L148" s="444"/>
      <c r="M148" s="444"/>
      <c r="N148" s="167"/>
    </row>
    <row r="149" spans="2:14" x14ac:dyDescent="0.35">
      <c r="B149" s="165"/>
      <c r="C149" s="166"/>
      <c r="D149" s="166"/>
      <c r="E149" s="166"/>
      <c r="F149" s="166"/>
      <c r="G149" s="166"/>
      <c r="H149" s="166"/>
      <c r="I149" s="166"/>
      <c r="J149" s="166"/>
      <c r="K149" s="166"/>
      <c r="L149" s="166"/>
      <c r="M149" s="166"/>
      <c r="N149" s="167"/>
    </row>
    <row r="150" spans="2:14" ht="14.5" customHeight="1" x14ac:dyDescent="0.35">
      <c r="B150" s="165"/>
      <c r="C150" s="444" t="s">
        <v>583</v>
      </c>
      <c r="D150" s="444"/>
      <c r="E150" s="444"/>
      <c r="F150" s="444"/>
      <c r="G150" s="444"/>
      <c r="H150" s="444"/>
      <c r="I150" s="444"/>
      <c r="J150" s="444"/>
      <c r="K150" s="444"/>
      <c r="L150" s="444"/>
      <c r="M150" s="444"/>
      <c r="N150" s="167"/>
    </row>
    <row r="151" spans="2:14" x14ac:dyDescent="0.35">
      <c r="B151" s="165"/>
      <c r="C151" s="444"/>
      <c r="D151" s="444"/>
      <c r="E151" s="444"/>
      <c r="F151" s="444"/>
      <c r="G151" s="444"/>
      <c r="H151" s="444"/>
      <c r="I151" s="444"/>
      <c r="J151" s="444"/>
      <c r="K151" s="444"/>
      <c r="L151" s="444"/>
      <c r="M151" s="444"/>
      <c r="N151" s="167"/>
    </row>
    <row r="152" spans="2:14" x14ac:dyDescent="0.35">
      <c r="B152" s="165"/>
      <c r="C152" s="444"/>
      <c r="D152" s="444"/>
      <c r="E152" s="444"/>
      <c r="F152" s="444"/>
      <c r="G152" s="444"/>
      <c r="H152" s="444"/>
      <c r="I152" s="444"/>
      <c r="J152" s="444"/>
      <c r="K152" s="444"/>
      <c r="L152" s="444"/>
      <c r="M152" s="444"/>
      <c r="N152" s="167"/>
    </row>
    <row r="153" spans="2:14" x14ac:dyDescent="0.35">
      <c r="B153" s="165"/>
      <c r="C153" s="166"/>
      <c r="D153" s="166"/>
      <c r="E153" s="166"/>
      <c r="F153" s="166"/>
      <c r="G153" s="166"/>
      <c r="H153" s="166"/>
      <c r="I153" s="166"/>
      <c r="J153" s="166"/>
      <c r="K153" s="166"/>
      <c r="L153" s="166"/>
      <c r="M153" s="166"/>
      <c r="N153" s="167"/>
    </row>
    <row r="154" spans="2:14" x14ac:dyDescent="0.35">
      <c r="B154" s="165"/>
      <c r="C154" s="444" t="s">
        <v>584</v>
      </c>
      <c r="D154" s="444"/>
      <c r="E154" s="444"/>
      <c r="F154" s="444"/>
      <c r="G154" s="444"/>
      <c r="H154" s="444"/>
      <c r="I154" s="444"/>
      <c r="J154" s="444"/>
      <c r="K154" s="444"/>
      <c r="L154" s="444"/>
      <c r="M154" s="444"/>
      <c r="N154" s="167"/>
    </row>
    <row r="155" spans="2:14" x14ac:dyDescent="0.35">
      <c r="B155" s="165"/>
      <c r="C155" s="444"/>
      <c r="D155" s="444"/>
      <c r="E155" s="444"/>
      <c r="F155" s="444"/>
      <c r="G155" s="444"/>
      <c r="H155" s="444"/>
      <c r="I155" s="444"/>
      <c r="J155" s="444"/>
      <c r="K155" s="444"/>
      <c r="L155" s="444"/>
      <c r="M155" s="444"/>
      <c r="N155" s="167"/>
    </row>
    <row r="156" spans="2:14" x14ac:dyDescent="0.35">
      <c r="B156" s="165"/>
      <c r="C156" s="166"/>
      <c r="D156" s="166"/>
      <c r="E156" s="166"/>
      <c r="F156" s="166"/>
      <c r="G156" s="166"/>
      <c r="H156" s="166"/>
      <c r="I156" s="166"/>
      <c r="J156" s="166"/>
      <c r="K156" s="166"/>
      <c r="L156" s="166"/>
      <c r="M156" s="166"/>
      <c r="N156" s="167"/>
    </row>
    <row r="157" spans="2:14" x14ac:dyDescent="0.35">
      <c r="B157" s="165"/>
      <c r="C157" s="460" t="s">
        <v>585</v>
      </c>
      <c r="D157" s="460"/>
      <c r="E157" s="460"/>
      <c r="F157" s="460"/>
      <c r="G157" s="460"/>
      <c r="H157" s="460"/>
      <c r="I157" s="460"/>
      <c r="J157" s="460"/>
      <c r="K157" s="460"/>
      <c r="L157" s="460"/>
      <c r="M157" s="460"/>
      <c r="N157" s="167"/>
    </row>
    <row r="158" spans="2:14" x14ac:dyDescent="0.35">
      <c r="B158" s="165"/>
      <c r="C158" s="166"/>
      <c r="D158" s="166"/>
      <c r="E158" s="166"/>
      <c r="F158" s="166"/>
      <c r="G158" s="166"/>
      <c r="H158" s="166"/>
      <c r="I158" s="166"/>
      <c r="J158" s="166"/>
      <c r="K158" s="166"/>
      <c r="L158" s="166"/>
      <c r="M158" s="166"/>
      <c r="N158" s="167"/>
    </row>
    <row r="159" spans="2:14" ht="14.5" customHeight="1" x14ac:dyDescent="0.35">
      <c r="B159" s="165"/>
      <c r="C159" s="461" t="s">
        <v>555</v>
      </c>
      <c r="D159" s="461"/>
      <c r="E159" s="461"/>
      <c r="F159" s="461"/>
      <c r="G159" s="461"/>
      <c r="H159" s="461"/>
      <c r="I159" s="461"/>
      <c r="J159" s="461"/>
      <c r="K159" s="461"/>
      <c r="L159" s="461"/>
      <c r="M159" s="461"/>
      <c r="N159" s="167"/>
    </row>
    <row r="160" spans="2:14" x14ac:dyDescent="0.35">
      <c r="B160" s="165"/>
      <c r="C160" s="166"/>
      <c r="D160" s="166"/>
      <c r="E160" s="166"/>
      <c r="F160" s="166"/>
      <c r="G160" s="166"/>
      <c r="H160" s="166"/>
      <c r="I160" s="166"/>
      <c r="J160" s="166"/>
      <c r="K160" s="166"/>
      <c r="L160" s="166"/>
      <c r="M160" s="166"/>
      <c r="N160" s="167"/>
    </row>
    <row r="161" spans="2:14" x14ac:dyDescent="0.35">
      <c r="B161" s="165"/>
      <c r="C161" s="166"/>
      <c r="D161" s="166"/>
      <c r="E161" s="166"/>
      <c r="F161" s="166"/>
      <c r="G161" s="166"/>
      <c r="H161" s="166"/>
      <c r="I161" s="166"/>
      <c r="J161" s="166"/>
      <c r="K161" s="166"/>
      <c r="L161" s="166"/>
      <c r="M161" s="166"/>
      <c r="N161" s="167"/>
    </row>
    <row r="162" spans="2:14" x14ac:dyDescent="0.35">
      <c r="B162" s="165"/>
      <c r="C162" s="168" t="s">
        <v>251</v>
      </c>
      <c r="D162" s="154"/>
      <c r="E162" s="154"/>
      <c r="F162" s="154"/>
      <c r="G162" s="154"/>
      <c r="H162" s="154"/>
      <c r="I162" s="154"/>
      <c r="J162" s="154"/>
      <c r="K162" s="154"/>
      <c r="L162" s="154"/>
      <c r="M162" s="154"/>
      <c r="N162" s="167"/>
    </row>
    <row r="163" spans="2:14" x14ac:dyDescent="0.35">
      <c r="B163" s="165"/>
      <c r="C163" s="166"/>
      <c r="D163" s="166"/>
      <c r="E163" s="166"/>
      <c r="F163" s="166"/>
      <c r="G163" s="166"/>
      <c r="H163" s="166"/>
      <c r="I163" s="166"/>
      <c r="J163" s="166"/>
      <c r="K163" s="166"/>
      <c r="L163" s="166"/>
      <c r="M163" s="166"/>
      <c r="N163" s="167"/>
    </row>
    <row r="164" spans="2:14" x14ac:dyDescent="0.35">
      <c r="B164" s="165"/>
      <c r="C164" s="444" t="s">
        <v>554</v>
      </c>
      <c r="D164" s="444"/>
      <c r="E164" s="444"/>
      <c r="F164" s="444"/>
      <c r="G164" s="444"/>
      <c r="H164" s="444"/>
      <c r="I164" s="444"/>
      <c r="J164" s="444"/>
      <c r="K164" s="444"/>
      <c r="L164" s="444"/>
      <c r="M164" s="444"/>
      <c r="N164" s="167"/>
    </row>
    <row r="165" spans="2:14" x14ac:dyDescent="0.35">
      <c r="B165" s="165"/>
      <c r="C165" s="444"/>
      <c r="D165" s="444"/>
      <c r="E165" s="444"/>
      <c r="F165" s="444"/>
      <c r="G165" s="444"/>
      <c r="H165" s="444"/>
      <c r="I165" s="444"/>
      <c r="J165" s="444"/>
      <c r="K165" s="444"/>
      <c r="L165" s="444"/>
      <c r="M165" s="444"/>
      <c r="N165" s="167"/>
    </row>
    <row r="166" spans="2:14" x14ac:dyDescent="0.35">
      <c r="B166" s="165"/>
      <c r="C166" s="166"/>
      <c r="D166" s="166"/>
      <c r="E166" s="166"/>
      <c r="F166" s="166"/>
      <c r="G166" s="166"/>
      <c r="H166" s="166"/>
      <c r="I166" s="166"/>
      <c r="J166" s="166"/>
      <c r="K166" s="166"/>
      <c r="L166" s="166"/>
      <c r="M166" s="166"/>
      <c r="N166" s="167"/>
    </row>
    <row r="167" spans="2:14" x14ac:dyDescent="0.35">
      <c r="B167" s="165"/>
      <c r="C167" s="444" t="s">
        <v>381</v>
      </c>
      <c r="D167" s="444"/>
      <c r="E167" s="444"/>
      <c r="F167" s="444"/>
      <c r="G167" s="444"/>
      <c r="H167" s="444"/>
      <c r="I167" s="444"/>
      <c r="J167" s="444"/>
      <c r="K167" s="444"/>
      <c r="L167" s="444"/>
      <c r="M167" s="444"/>
      <c r="N167" s="167"/>
    </row>
    <row r="168" spans="2:14" x14ac:dyDescent="0.35">
      <c r="B168" s="165"/>
      <c r="C168" s="444"/>
      <c r="D168" s="444"/>
      <c r="E168" s="444"/>
      <c r="F168" s="444"/>
      <c r="G168" s="444"/>
      <c r="H168" s="444"/>
      <c r="I168" s="444"/>
      <c r="J168" s="444"/>
      <c r="K168" s="444"/>
      <c r="L168" s="444"/>
      <c r="M168" s="444"/>
      <c r="N168" s="167"/>
    </row>
    <row r="169" spans="2:14" x14ac:dyDescent="0.35">
      <c r="B169" s="165"/>
      <c r="C169" s="238"/>
      <c r="D169" s="238"/>
      <c r="E169" s="238"/>
      <c r="F169" s="238"/>
      <c r="G169" s="238"/>
      <c r="H169" s="238"/>
      <c r="I169" s="238"/>
      <c r="J169" s="238"/>
      <c r="K169" s="238"/>
      <c r="L169" s="238"/>
      <c r="M169" s="238"/>
      <c r="N169" s="167"/>
    </row>
    <row r="170" spans="2:14" x14ac:dyDescent="0.35">
      <c r="B170" s="165"/>
      <c r="C170" s="444" t="s">
        <v>394</v>
      </c>
      <c r="D170" s="444"/>
      <c r="E170" s="444"/>
      <c r="F170" s="444"/>
      <c r="G170" s="444"/>
      <c r="H170" s="444"/>
      <c r="I170" s="444"/>
      <c r="J170" s="444"/>
      <c r="K170" s="444"/>
      <c r="L170" s="444"/>
      <c r="M170" s="444"/>
      <c r="N170" s="167"/>
    </row>
    <row r="171" spans="2:14" x14ac:dyDescent="0.35">
      <c r="B171" s="165"/>
      <c r="C171" s="444"/>
      <c r="D171" s="444"/>
      <c r="E171" s="444"/>
      <c r="F171" s="444"/>
      <c r="G171" s="444"/>
      <c r="H171" s="444"/>
      <c r="I171" s="444"/>
      <c r="J171" s="444"/>
      <c r="K171" s="444"/>
      <c r="L171" s="444"/>
      <c r="M171" s="444"/>
      <c r="N171" s="167"/>
    </row>
    <row r="172" spans="2:14" x14ac:dyDescent="0.35">
      <c r="B172" s="165"/>
      <c r="C172" s="166"/>
      <c r="D172" s="166"/>
      <c r="E172" s="166"/>
      <c r="F172" s="166"/>
      <c r="G172" s="166"/>
      <c r="H172" s="166"/>
      <c r="I172" s="166"/>
      <c r="J172" s="166"/>
      <c r="K172" s="166"/>
      <c r="L172" s="166"/>
      <c r="M172" s="166"/>
      <c r="N172" s="167"/>
    </row>
    <row r="173" spans="2:14" x14ac:dyDescent="0.35">
      <c r="B173" s="165"/>
      <c r="C173" s="444" t="s">
        <v>385</v>
      </c>
      <c r="D173" s="444"/>
      <c r="E173" s="444"/>
      <c r="F173" s="444"/>
      <c r="G173" s="444"/>
      <c r="H173" s="444"/>
      <c r="I173" s="444"/>
      <c r="J173" s="444"/>
      <c r="K173" s="444"/>
      <c r="L173" s="444"/>
      <c r="M173" s="444"/>
      <c r="N173" s="167"/>
    </row>
    <row r="174" spans="2:14" x14ac:dyDescent="0.35">
      <c r="B174" s="165"/>
      <c r="C174" s="444"/>
      <c r="D174" s="444"/>
      <c r="E174" s="444"/>
      <c r="F174" s="444"/>
      <c r="G174" s="444"/>
      <c r="H174" s="444"/>
      <c r="I174" s="444"/>
      <c r="J174" s="444"/>
      <c r="K174" s="444"/>
      <c r="L174" s="444"/>
      <c r="M174" s="444"/>
      <c r="N174" s="167"/>
    </row>
    <row r="175" spans="2:14" x14ac:dyDescent="0.35">
      <c r="B175" s="165"/>
      <c r="C175" s="286"/>
      <c r="D175" s="286"/>
      <c r="E175" s="286"/>
      <c r="F175" s="286"/>
      <c r="G175" s="286"/>
      <c r="H175" s="286"/>
      <c r="I175" s="286"/>
      <c r="J175" s="286"/>
      <c r="K175" s="286"/>
      <c r="L175" s="286"/>
      <c r="M175" s="286"/>
      <c r="N175" s="167"/>
    </row>
    <row r="176" spans="2:14" ht="14.5" customHeight="1" x14ac:dyDescent="0.35">
      <c r="B176" s="165"/>
      <c r="C176" s="444" t="s">
        <v>534</v>
      </c>
      <c r="D176" s="444"/>
      <c r="E176" s="444"/>
      <c r="F176" s="444"/>
      <c r="G176" s="444"/>
      <c r="H176" s="444"/>
      <c r="I176" s="444"/>
      <c r="J176" s="444"/>
      <c r="K176" s="444"/>
      <c r="L176" s="444"/>
      <c r="M176" s="444"/>
      <c r="N176" s="167"/>
    </row>
    <row r="177" spans="2:14" ht="14.5" customHeight="1" x14ac:dyDescent="0.35">
      <c r="B177" s="165"/>
      <c r="C177" s="286"/>
      <c r="D177" s="286"/>
      <c r="E177" s="286"/>
      <c r="F177" s="286"/>
      <c r="G177" s="286"/>
      <c r="H177" s="286"/>
      <c r="I177" s="286"/>
      <c r="J177" s="286"/>
      <c r="K177" s="286"/>
      <c r="L177" s="286"/>
      <c r="M177" s="286"/>
      <c r="N177" s="167"/>
    </row>
    <row r="178" spans="2:14" ht="14.5" customHeight="1" x14ac:dyDescent="0.35">
      <c r="B178" s="165"/>
      <c r="C178" s="444" t="s">
        <v>542</v>
      </c>
      <c r="D178" s="444"/>
      <c r="E178" s="444"/>
      <c r="F178" s="444"/>
      <c r="G178" s="444"/>
      <c r="H178" s="444"/>
      <c r="I178" s="444"/>
      <c r="J178" s="444"/>
      <c r="K178" s="444"/>
      <c r="L178" s="444"/>
      <c r="M178" s="444"/>
      <c r="N178" s="167"/>
    </row>
    <row r="179" spans="2:14" ht="14.5" customHeight="1" x14ac:dyDescent="0.35">
      <c r="B179" s="165"/>
      <c r="C179" s="444"/>
      <c r="D179" s="444"/>
      <c r="E179" s="444"/>
      <c r="F179" s="444"/>
      <c r="G179" s="444"/>
      <c r="H179" s="444"/>
      <c r="I179" s="444"/>
      <c r="J179" s="444"/>
      <c r="K179" s="444"/>
      <c r="L179" s="444"/>
      <c r="M179" s="444"/>
      <c r="N179" s="167"/>
    </row>
    <row r="180" spans="2:14" x14ac:dyDescent="0.35">
      <c r="B180" s="165"/>
      <c r="C180" s="256"/>
      <c r="D180" s="256"/>
      <c r="E180" s="256"/>
      <c r="F180" s="256"/>
      <c r="G180" s="256"/>
      <c r="H180" s="256"/>
      <c r="I180" s="256"/>
      <c r="J180" s="256"/>
      <c r="K180" s="256"/>
      <c r="L180" s="256"/>
      <c r="M180" s="256"/>
      <c r="N180" s="167"/>
    </row>
    <row r="181" spans="2:14" x14ac:dyDescent="0.35">
      <c r="B181" s="165"/>
      <c r="C181" s="444" t="s">
        <v>424</v>
      </c>
      <c r="D181" s="444"/>
      <c r="E181" s="444"/>
      <c r="F181" s="444"/>
      <c r="G181" s="444"/>
      <c r="H181" s="444"/>
      <c r="I181" s="444"/>
      <c r="J181" s="444"/>
      <c r="K181" s="444"/>
      <c r="L181" s="444"/>
      <c r="M181" s="444"/>
      <c r="N181" s="167"/>
    </row>
    <row r="182" spans="2:14" x14ac:dyDescent="0.35">
      <c r="B182" s="165"/>
      <c r="C182" s="444"/>
      <c r="D182" s="444"/>
      <c r="E182" s="444"/>
      <c r="F182" s="444"/>
      <c r="G182" s="444"/>
      <c r="H182" s="444"/>
      <c r="I182" s="444"/>
      <c r="J182" s="444"/>
      <c r="K182" s="444"/>
      <c r="L182" s="444"/>
      <c r="M182" s="444"/>
      <c r="N182" s="167"/>
    </row>
    <row r="183" spans="2:14" x14ac:dyDescent="0.35">
      <c r="B183" s="165"/>
      <c r="C183" s="256"/>
      <c r="D183" s="256"/>
      <c r="E183" s="256"/>
      <c r="F183" s="256"/>
      <c r="G183" s="256"/>
      <c r="H183" s="256"/>
      <c r="I183" s="256"/>
      <c r="J183" s="256"/>
      <c r="K183" s="256"/>
      <c r="L183" s="256"/>
      <c r="M183" s="256"/>
      <c r="N183" s="167"/>
    </row>
    <row r="184" spans="2:14" x14ac:dyDescent="0.35">
      <c r="B184" s="165"/>
      <c r="C184" s="444" t="s">
        <v>426</v>
      </c>
      <c r="D184" s="444"/>
      <c r="E184" s="444"/>
      <c r="F184" s="444"/>
      <c r="G184" s="444"/>
      <c r="H184" s="444"/>
      <c r="I184" s="444"/>
      <c r="J184" s="444"/>
      <c r="K184" s="444"/>
      <c r="L184" s="444"/>
      <c r="M184" s="444"/>
      <c r="N184" s="167"/>
    </row>
    <row r="185" spans="2:14" x14ac:dyDescent="0.35">
      <c r="B185" s="165"/>
      <c r="C185" s="444"/>
      <c r="D185" s="444"/>
      <c r="E185" s="444"/>
      <c r="F185" s="444"/>
      <c r="G185" s="444"/>
      <c r="H185" s="444"/>
      <c r="I185" s="444"/>
      <c r="J185" s="444"/>
      <c r="K185" s="444"/>
      <c r="L185" s="444"/>
      <c r="M185" s="444"/>
      <c r="N185" s="167"/>
    </row>
    <row r="186" spans="2:14" x14ac:dyDescent="0.35">
      <c r="B186" s="165"/>
      <c r="C186" s="286"/>
      <c r="D186" s="286"/>
      <c r="E186" s="286"/>
      <c r="F186" s="286"/>
      <c r="G186" s="286"/>
      <c r="H186" s="286"/>
      <c r="I186" s="286"/>
      <c r="J186" s="286"/>
      <c r="K186" s="286"/>
      <c r="L186" s="286"/>
      <c r="M186" s="286"/>
      <c r="N186" s="167"/>
    </row>
    <row r="187" spans="2:14" ht="14.5" customHeight="1" x14ac:dyDescent="0.35">
      <c r="B187" s="165"/>
      <c r="C187" s="444" t="s">
        <v>536</v>
      </c>
      <c r="D187" s="444"/>
      <c r="E187" s="444"/>
      <c r="F187" s="444"/>
      <c r="G187" s="444"/>
      <c r="H187" s="444"/>
      <c r="I187" s="444"/>
      <c r="J187" s="444"/>
      <c r="K187" s="444"/>
      <c r="L187" s="444"/>
      <c r="M187" s="444"/>
      <c r="N187" s="167"/>
    </row>
    <row r="188" spans="2:14" x14ac:dyDescent="0.35">
      <c r="B188" s="165"/>
      <c r="C188" s="444"/>
      <c r="D188" s="444"/>
      <c r="E188" s="444"/>
      <c r="F188" s="444"/>
      <c r="G188" s="444"/>
      <c r="H188" s="444"/>
      <c r="I188" s="444"/>
      <c r="J188" s="444"/>
      <c r="K188" s="444"/>
      <c r="L188" s="444"/>
      <c r="M188" s="444"/>
      <c r="N188" s="167"/>
    </row>
    <row r="189" spans="2:14" x14ac:dyDescent="0.35">
      <c r="B189" s="165"/>
      <c r="C189" s="238"/>
      <c r="D189" s="238"/>
      <c r="E189" s="238"/>
      <c r="F189" s="238"/>
      <c r="G189" s="238"/>
      <c r="H189" s="238"/>
      <c r="I189" s="238"/>
      <c r="J189" s="238"/>
      <c r="K189" s="238"/>
      <c r="L189" s="238"/>
      <c r="M189" s="238"/>
      <c r="N189" s="167"/>
    </row>
    <row r="190" spans="2:14" x14ac:dyDescent="0.35">
      <c r="B190" s="165"/>
      <c r="C190" s="444" t="s">
        <v>396</v>
      </c>
      <c r="D190" s="444"/>
      <c r="E190" s="444"/>
      <c r="F190" s="444"/>
      <c r="G190" s="444"/>
      <c r="H190" s="444"/>
      <c r="I190" s="444"/>
      <c r="J190" s="444"/>
      <c r="K190" s="444"/>
      <c r="L190" s="444"/>
      <c r="M190" s="444"/>
      <c r="N190" s="167"/>
    </row>
    <row r="191" spans="2:14" x14ac:dyDescent="0.35">
      <c r="B191" s="165"/>
      <c r="C191" s="444"/>
      <c r="D191" s="444"/>
      <c r="E191" s="444"/>
      <c r="F191" s="444"/>
      <c r="G191" s="444"/>
      <c r="H191" s="444"/>
      <c r="I191" s="444"/>
      <c r="J191" s="444"/>
      <c r="K191" s="444"/>
      <c r="L191" s="444"/>
      <c r="M191" s="444"/>
      <c r="N191" s="167"/>
    </row>
    <row r="192" spans="2:14" x14ac:dyDescent="0.35">
      <c r="B192" s="165"/>
      <c r="C192" s="286"/>
      <c r="D192" s="286"/>
      <c r="E192" s="286"/>
      <c r="F192" s="286"/>
      <c r="G192" s="286"/>
      <c r="H192" s="286"/>
      <c r="I192" s="286"/>
      <c r="J192" s="286"/>
      <c r="K192" s="286"/>
      <c r="L192" s="286"/>
      <c r="M192" s="286"/>
      <c r="N192" s="167"/>
    </row>
    <row r="193" spans="2:14" x14ac:dyDescent="0.35">
      <c r="B193" s="165"/>
      <c r="C193" s="444" t="s">
        <v>537</v>
      </c>
      <c r="D193" s="444"/>
      <c r="E193" s="444"/>
      <c r="F193" s="444"/>
      <c r="G193" s="444"/>
      <c r="H193" s="444"/>
      <c r="I193" s="444"/>
      <c r="J193" s="444"/>
      <c r="K193" s="444"/>
      <c r="L193" s="444"/>
      <c r="M193" s="444"/>
      <c r="N193" s="167"/>
    </row>
    <row r="194" spans="2:14" x14ac:dyDescent="0.35">
      <c r="B194" s="165"/>
      <c r="C194" s="444"/>
      <c r="D194" s="444"/>
      <c r="E194" s="444"/>
      <c r="F194" s="444"/>
      <c r="G194" s="444"/>
      <c r="H194" s="444"/>
      <c r="I194" s="444"/>
      <c r="J194" s="444"/>
      <c r="K194" s="444"/>
      <c r="L194" s="444"/>
      <c r="M194" s="444"/>
      <c r="N194" s="167"/>
    </row>
    <row r="195" spans="2:14" x14ac:dyDescent="0.35">
      <c r="B195" s="165"/>
      <c r="C195" s="238"/>
      <c r="D195" s="238"/>
      <c r="E195" s="238"/>
      <c r="F195" s="238"/>
      <c r="G195" s="238"/>
      <c r="H195" s="238"/>
      <c r="I195" s="238"/>
      <c r="J195" s="238"/>
      <c r="K195" s="238"/>
      <c r="L195" s="238"/>
      <c r="M195" s="238"/>
      <c r="N195" s="167"/>
    </row>
    <row r="196" spans="2:14" ht="14.4" customHeight="1" x14ac:dyDescent="0.35">
      <c r="B196" s="165"/>
      <c r="C196" s="444" t="s">
        <v>397</v>
      </c>
      <c r="D196" s="444"/>
      <c r="E196" s="444"/>
      <c r="F196" s="444"/>
      <c r="G196" s="444"/>
      <c r="H196" s="444"/>
      <c r="I196" s="444"/>
      <c r="J196" s="444"/>
      <c r="K196" s="444"/>
      <c r="L196" s="444"/>
      <c r="M196" s="444"/>
      <c r="N196" s="167"/>
    </row>
    <row r="197" spans="2:14" x14ac:dyDescent="0.35">
      <c r="B197" s="165"/>
      <c r="C197" s="444"/>
      <c r="D197" s="444"/>
      <c r="E197" s="444"/>
      <c r="F197" s="444"/>
      <c r="G197" s="444"/>
      <c r="H197" s="444"/>
      <c r="I197" s="444"/>
      <c r="J197" s="444"/>
      <c r="K197" s="444"/>
      <c r="L197" s="444"/>
      <c r="M197" s="444"/>
      <c r="N197" s="167"/>
    </row>
    <row r="198" spans="2:14" x14ac:dyDescent="0.35">
      <c r="B198" s="165"/>
      <c r="C198" s="444"/>
      <c r="D198" s="444"/>
      <c r="E198" s="444"/>
      <c r="F198" s="444"/>
      <c r="G198" s="444"/>
      <c r="H198" s="444"/>
      <c r="I198" s="444"/>
      <c r="J198" s="444"/>
      <c r="K198" s="444"/>
      <c r="L198" s="444"/>
      <c r="M198" s="444"/>
      <c r="N198" s="167"/>
    </row>
    <row r="199" spans="2:14" x14ac:dyDescent="0.35">
      <c r="B199" s="165"/>
      <c r="C199" s="166"/>
      <c r="D199" s="166"/>
      <c r="E199" s="166"/>
      <c r="F199" s="166"/>
      <c r="G199" s="166"/>
      <c r="H199" s="166"/>
      <c r="I199" s="166"/>
      <c r="J199" s="166"/>
      <c r="K199" s="166"/>
      <c r="L199" s="166"/>
      <c r="M199" s="166"/>
      <c r="N199" s="167"/>
    </row>
    <row r="200" spans="2:14" x14ac:dyDescent="0.35">
      <c r="B200" s="165"/>
      <c r="C200" s="444" t="s">
        <v>387</v>
      </c>
      <c r="D200" s="444"/>
      <c r="E200" s="444"/>
      <c r="F200" s="444"/>
      <c r="G200" s="444"/>
      <c r="H200" s="444"/>
      <c r="I200" s="444"/>
      <c r="J200" s="444"/>
      <c r="K200" s="444"/>
      <c r="L200" s="444"/>
      <c r="M200" s="444"/>
      <c r="N200" s="167"/>
    </row>
    <row r="201" spans="2:14" x14ac:dyDescent="0.35">
      <c r="B201" s="165"/>
      <c r="C201" s="444"/>
      <c r="D201" s="444"/>
      <c r="E201" s="444"/>
      <c r="F201" s="444"/>
      <c r="G201" s="444"/>
      <c r="H201" s="444"/>
      <c r="I201" s="444"/>
      <c r="J201" s="444"/>
      <c r="K201" s="444"/>
      <c r="L201" s="444"/>
      <c r="M201" s="444"/>
      <c r="N201" s="167"/>
    </row>
    <row r="202" spans="2:14" x14ac:dyDescent="0.35">
      <c r="B202" s="165"/>
      <c r="C202" s="256"/>
      <c r="D202" s="256"/>
      <c r="E202" s="256"/>
      <c r="F202" s="256"/>
      <c r="G202" s="256"/>
      <c r="H202" s="256"/>
      <c r="I202" s="256"/>
      <c r="J202" s="256"/>
      <c r="K202" s="256"/>
      <c r="L202" s="256"/>
      <c r="M202" s="256"/>
      <c r="N202" s="167"/>
    </row>
    <row r="203" spans="2:14" x14ac:dyDescent="0.35">
      <c r="B203" s="165"/>
      <c r="C203" s="444" t="s">
        <v>436</v>
      </c>
      <c r="D203" s="444"/>
      <c r="E203" s="444"/>
      <c r="F203" s="444"/>
      <c r="G203" s="444"/>
      <c r="H203" s="444"/>
      <c r="I203" s="444"/>
      <c r="J203" s="444"/>
      <c r="K203" s="444"/>
      <c r="L203" s="444"/>
      <c r="M203" s="444"/>
      <c r="N203" s="167"/>
    </row>
    <row r="204" spans="2:14" x14ac:dyDescent="0.35">
      <c r="B204" s="165"/>
      <c r="C204" s="444"/>
      <c r="D204" s="444"/>
      <c r="E204" s="444"/>
      <c r="F204" s="444"/>
      <c r="G204" s="444"/>
      <c r="H204" s="444"/>
      <c r="I204" s="444"/>
      <c r="J204" s="444"/>
      <c r="K204" s="444"/>
      <c r="L204" s="444"/>
      <c r="M204" s="444"/>
      <c r="N204" s="167"/>
    </row>
    <row r="205" spans="2:14" x14ac:dyDescent="0.35">
      <c r="B205" s="165"/>
      <c r="C205" s="256"/>
      <c r="D205" s="256"/>
      <c r="E205" s="256"/>
      <c r="F205" s="256"/>
      <c r="G205" s="256"/>
      <c r="H205" s="256"/>
      <c r="I205" s="256"/>
      <c r="J205" s="256"/>
      <c r="K205" s="256"/>
      <c r="L205" s="256"/>
      <c r="M205" s="256"/>
      <c r="N205" s="167"/>
    </row>
    <row r="206" spans="2:14" x14ac:dyDescent="0.35">
      <c r="B206" s="165"/>
      <c r="C206" s="444" t="s">
        <v>425</v>
      </c>
      <c r="D206" s="444"/>
      <c r="E206" s="444"/>
      <c r="F206" s="444"/>
      <c r="G206" s="444"/>
      <c r="H206" s="444"/>
      <c r="I206" s="444"/>
      <c r="J206" s="444"/>
      <c r="K206" s="444"/>
      <c r="L206" s="444"/>
      <c r="M206" s="444"/>
      <c r="N206" s="167"/>
    </row>
    <row r="207" spans="2:14" x14ac:dyDescent="0.35">
      <c r="B207" s="165"/>
      <c r="C207" s="444"/>
      <c r="D207" s="444"/>
      <c r="E207" s="444"/>
      <c r="F207" s="444"/>
      <c r="G207" s="444"/>
      <c r="H207" s="444"/>
      <c r="I207" s="444"/>
      <c r="J207" s="444"/>
      <c r="K207" s="444"/>
      <c r="L207" s="444"/>
      <c r="M207" s="444"/>
      <c r="N207" s="167"/>
    </row>
    <row r="208" spans="2:14" x14ac:dyDescent="0.35">
      <c r="B208" s="165"/>
      <c r="C208" s="256"/>
      <c r="D208" s="256"/>
      <c r="E208" s="256"/>
      <c r="F208" s="256"/>
      <c r="G208" s="256"/>
      <c r="H208" s="256"/>
      <c r="I208" s="256"/>
      <c r="J208" s="256"/>
      <c r="K208" s="256"/>
      <c r="L208" s="256"/>
      <c r="M208" s="256"/>
      <c r="N208" s="167"/>
    </row>
    <row r="209" spans="2:14" ht="14.5" customHeight="1" x14ac:dyDescent="0.35">
      <c r="B209" s="165"/>
      <c r="C209" s="444" t="s">
        <v>422</v>
      </c>
      <c r="D209" s="444"/>
      <c r="E209" s="444"/>
      <c r="F209" s="444"/>
      <c r="G209" s="444"/>
      <c r="H209" s="444"/>
      <c r="I209" s="444"/>
      <c r="J209" s="444"/>
      <c r="K209" s="444"/>
      <c r="L209" s="444"/>
      <c r="M209" s="444"/>
      <c r="N209" s="167"/>
    </row>
    <row r="210" spans="2:14" x14ac:dyDescent="0.35">
      <c r="B210" s="165"/>
      <c r="C210" s="444"/>
      <c r="D210" s="444"/>
      <c r="E210" s="444"/>
      <c r="F210" s="444"/>
      <c r="G210" s="444"/>
      <c r="H210" s="444"/>
      <c r="I210" s="444"/>
      <c r="J210" s="444"/>
      <c r="K210" s="444"/>
      <c r="L210" s="444"/>
      <c r="M210" s="444"/>
      <c r="N210" s="167"/>
    </row>
    <row r="211" spans="2:14" x14ac:dyDescent="0.35">
      <c r="B211" s="165"/>
      <c r="C211" s="444"/>
      <c r="D211" s="444"/>
      <c r="E211" s="444"/>
      <c r="F211" s="444"/>
      <c r="G211" s="444"/>
      <c r="H211" s="444"/>
      <c r="I211" s="444"/>
      <c r="J211" s="444"/>
      <c r="K211" s="444"/>
      <c r="L211" s="444"/>
      <c r="M211" s="444"/>
      <c r="N211" s="167"/>
    </row>
    <row r="212" spans="2:14" x14ac:dyDescent="0.35">
      <c r="B212" s="165"/>
      <c r="C212" s="399"/>
      <c r="D212" s="399"/>
      <c r="E212" s="399"/>
      <c r="F212" s="399"/>
      <c r="G212" s="399"/>
      <c r="H212" s="399"/>
      <c r="I212" s="399"/>
      <c r="J212" s="399"/>
      <c r="K212" s="399"/>
      <c r="L212" s="399"/>
      <c r="M212" s="399"/>
      <c r="N212" s="167"/>
    </row>
    <row r="213" spans="2:14" ht="14.5" customHeight="1" x14ac:dyDescent="0.35">
      <c r="B213" s="165"/>
      <c r="C213" s="444" t="s">
        <v>673</v>
      </c>
      <c r="D213" s="444"/>
      <c r="E213" s="444"/>
      <c r="F213" s="444"/>
      <c r="G213" s="444"/>
      <c r="H213" s="444"/>
      <c r="I213" s="444"/>
      <c r="J213" s="444"/>
      <c r="K213" s="444"/>
      <c r="L213" s="444"/>
      <c r="M213" s="444"/>
      <c r="N213" s="167"/>
    </row>
    <row r="214" spans="2:14" x14ac:dyDescent="0.35">
      <c r="B214" s="165"/>
      <c r="C214" s="444"/>
      <c r="D214" s="444"/>
      <c r="E214" s="444"/>
      <c r="F214" s="444"/>
      <c r="G214" s="444"/>
      <c r="H214" s="444"/>
      <c r="I214" s="444"/>
      <c r="J214" s="444"/>
      <c r="K214" s="444"/>
      <c r="L214" s="444"/>
      <c r="M214" s="444"/>
      <c r="N214" s="167"/>
    </row>
    <row r="215" spans="2:14" x14ac:dyDescent="0.35">
      <c r="B215" s="165"/>
      <c r="C215" s="233"/>
      <c r="D215" s="233"/>
      <c r="E215" s="233"/>
      <c r="F215" s="233"/>
      <c r="G215" s="233"/>
      <c r="H215" s="233"/>
      <c r="I215" s="233"/>
      <c r="J215" s="233"/>
      <c r="K215" s="233"/>
      <c r="L215" s="233"/>
      <c r="M215" s="233"/>
      <c r="N215" s="167"/>
    </row>
    <row r="216" spans="2:14" ht="14.4" customHeight="1" x14ac:dyDescent="0.35">
      <c r="B216" s="165"/>
      <c r="C216" s="444" t="s">
        <v>391</v>
      </c>
      <c r="D216" s="444"/>
      <c r="E216" s="444"/>
      <c r="F216" s="444"/>
      <c r="G216" s="444"/>
      <c r="H216" s="444"/>
      <c r="I216" s="444"/>
      <c r="J216" s="444"/>
      <c r="K216" s="444"/>
      <c r="L216" s="444"/>
      <c r="M216" s="444"/>
      <c r="N216" s="167"/>
    </row>
    <row r="217" spans="2:14" x14ac:dyDescent="0.35">
      <c r="B217" s="165"/>
      <c r="C217" s="444"/>
      <c r="D217" s="444"/>
      <c r="E217" s="444"/>
      <c r="F217" s="444"/>
      <c r="G217" s="444"/>
      <c r="H217" s="444"/>
      <c r="I217" s="444"/>
      <c r="J217" s="444"/>
      <c r="K217" s="444"/>
      <c r="L217" s="444"/>
      <c r="M217" s="444"/>
      <c r="N217" s="167"/>
    </row>
    <row r="218" spans="2:14" x14ac:dyDescent="0.35">
      <c r="B218" s="165"/>
      <c r="C218" s="256"/>
      <c r="D218" s="256"/>
      <c r="E218" s="256"/>
      <c r="F218" s="256"/>
      <c r="G218" s="256"/>
      <c r="H218" s="256"/>
      <c r="I218" s="256"/>
      <c r="J218" s="256"/>
      <c r="K218" s="256"/>
      <c r="L218" s="256"/>
      <c r="M218" s="256"/>
      <c r="N218" s="167"/>
    </row>
    <row r="219" spans="2:14" x14ac:dyDescent="0.35">
      <c r="B219" s="165"/>
      <c r="C219" s="444" t="s">
        <v>437</v>
      </c>
      <c r="D219" s="444"/>
      <c r="E219" s="444"/>
      <c r="F219" s="444"/>
      <c r="G219" s="444"/>
      <c r="H219" s="444"/>
      <c r="I219" s="444"/>
      <c r="J219" s="444"/>
      <c r="K219" s="444"/>
      <c r="L219" s="444"/>
      <c r="M219" s="444"/>
      <c r="N219" s="167"/>
    </row>
    <row r="220" spans="2:14" x14ac:dyDescent="0.35">
      <c r="B220" s="165"/>
      <c r="C220" s="444"/>
      <c r="D220" s="444"/>
      <c r="E220" s="444"/>
      <c r="F220" s="444"/>
      <c r="G220" s="444"/>
      <c r="H220" s="444"/>
      <c r="I220" s="444"/>
      <c r="J220" s="444"/>
      <c r="K220" s="444"/>
      <c r="L220" s="444"/>
      <c r="M220" s="444"/>
      <c r="N220" s="167"/>
    </row>
    <row r="221" spans="2:14" x14ac:dyDescent="0.35">
      <c r="B221" s="165"/>
      <c r="C221" s="256"/>
      <c r="D221" s="256"/>
      <c r="E221" s="256"/>
      <c r="F221" s="256"/>
      <c r="G221" s="256"/>
      <c r="H221" s="256"/>
      <c r="I221" s="256"/>
      <c r="J221" s="256"/>
      <c r="K221" s="256"/>
      <c r="L221" s="256"/>
      <c r="M221" s="256"/>
      <c r="N221" s="167"/>
    </row>
    <row r="222" spans="2:14" x14ac:dyDescent="0.35">
      <c r="B222" s="165"/>
      <c r="C222" s="444" t="s">
        <v>423</v>
      </c>
      <c r="D222" s="444"/>
      <c r="E222" s="444"/>
      <c r="F222" s="444"/>
      <c r="G222" s="444"/>
      <c r="H222" s="444"/>
      <c r="I222" s="444"/>
      <c r="J222" s="444"/>
      <c r="K222" s="444"/>
      <c r="L222" s="444"/>
      <c r="M222" s="444"/>
      <c r="N222" s="167"/>
    </row>
    <row r="223" spans="2:14" x14ac:dyDescent="0.35">
      <c r="B223" s="165"/>
      <c r="C223" s="444"/>
      <c r="D223" s="444"/>
      <c r="E223" s="444"/>
      <c r="F223" s="444"/>
      <c r="G223" s="444"/>
      <c r="H223" s="444"/>
      <c r="I223" s="444"/>
      <c r="J223" s="444"/>
      <c r="K223" s="444"/>
      <c r="L223" s="444"/>
      <c r="M223" s="444"/>
      <c r="N223" s="167"/>
    </row>
    <row r="224" spans="2:14" x14ac:dyDescent="0.35">
      <c r="B224" s="165"/>
      <c r="C224" s="256"/>
      <c r="D224" s="256"/>
      <c r="E224" s="256"/>
      <c r="F224" s="256"/>
      <c r="G224" s="256"/>
      <c r="H224" s="256"/>
      <c r="I224" s="256"/>
      <c r="J224" s="256"/>
      <c r="K224" s="256"/>
      <c r="L224" s="256"/>
      <c r="M224" s="256"/>
      <c r="N224" s="167"/>
    </row>
    <row r="225" spans="2:14" x14ac:dyDescent="0.35">
      <c r="B225" s="165"/>
      <c r="C225" s="444" t="s">
        <v>427</v>
      </c>
      <c r="D225" s="444"/>
      <c r="E225" s="444"/>
      <c r="F225" s="444"/>
      <c r="G225" s="444"/>
      <c r="H225" s="444"/>
      <c r="I225" s="444"/>
      <c r="J225" s="444"/>
      <c r="K225" s="444"/>
      <c r="L225" s="444"/>
      <c r="M225" s="444"/>
      <c r="N225" s="167"/>
    </row>
    <row r="226" spans="2:14" x14ac:dyDescent="0.35">
      <c r="B226" s="165"/>
      <c r="C226" s="444"/>
      <c r="D226" s="444"/>
      <c r="E226" s="444"/>
      <c r="F226" s="444"/>
      <c r="G226" s="444"/>
      <c r="H226" s="444"/>
      <c r="I226" s="444"/>
      <c r="J226" s="444"/>
      <c r="K226" s="444"/>
      <c r="L226" s="444"/>
      <c r="M226" s="444"/>
      <c r="N226" s="167"/>
    </row>
    <row r="227" spans="2:14" x14ac:dyDescent="0.35">
      <c r="B227" s="165"/>
      <c r="C227" s="233"/>
      <c r="D227" s="233"/>
      <c r="E227" s="233"/>
      <c r="F227" s="233"/>
      <c r="G227" s="233"/>
      <c r="H227" s="233"/>
      <c r="I227" s="233"/>
      <c r="J227" s="233"/>
      <c r="K227" s="233"/>
      <c r="L227" s="233"/>
      <c r="M227" s="233"/>
      <c r="N227" s="167"/>
    </row>
    <row r="228" spans="2:14" ht="14.4" customHeight="1" x14ac:dyDescent="0.35">
      <c r="B228" s="165"/>
      <c r="C228" s="444" t="s">
        <v>390</v>
      </c>
      <c r="D228" s="444"/>
      <c r="E228" s="444"/>
      <c r="F228" s="444"/>
      <c r="G228" s="444"/>
      <c r="H228" s="444"/>
      <c r="I228" s="444"/>
      <c r="J228" s="444"/>
      <c r="K228" s="444"/>
      <c r="L228" s="444"/>
      <c r="M228" s="444"/>
      <c r="N228" s="167"/>
    </row>
    <row r="229" spans="2:14" x14ac:dyDescent="0.35">
      <c r="B229" s="165"/>
      <c r="C229" s="444"/>
      <c r="D229" s="444"/>
      <c r="E229" s="444"/>
      <c r="F229" s="444"/>
      <c r="G229" s="444"/>
      <c r="H229" s="444"/>
      <c r="I229" s="444"/>
      <c r="J229" s="444"/>
      <c r="K229" s="444"/>
      <c r="L229" s="444"/>
      <c r="M229" s="444"/>
      <c r="N229" s="167"/>
    </row>
    <row r="230" spans="2:14" x14ac:dyDescent="0.35">
      <c r="B230" s="165"/>
      <c r="C230" s="256"/>
      <c r="D230" s="256"/>
      <c r="E230" s="256"/>
      <c r="F230" s="256"/>
      <c r="G230" s="256"/>
      <c r="H230" s="256"/>
      <c r="I230" s="256"/>
      <c r="J230" s="256"/>
      <c r="K230" s="256"/>
      <c r="L230" s="256"/>
      <c r="M230" s="256"/>
      <c r="N230" s="167"/>
    </row>
    <row r="231" spans="2:14" x14ac:dyDescent="0.35">
      <c r="B231" s="165"/>
      <c r="C231" s="444" t="s">
        <v>433</v>
      </c>
      <c r="D231" s="444"/>
      <c r="E231" s="444"/>
      <c r="F231" s="444"/>
      <c r="G231" s="444"/>
      <c r="H231" s="444"/>
      <c r="I231" s="444"/>
      <c r="J231" s="444"/>
      <c r="K231" s="444"/>
      <c r="L231" s="444"/>
      <c r="M231" s="444"/>
      <c r="N231" s="167"/>
    </row>
    <row r="232" spans="2:14" x14ac:dyDescent="0.35">
      <c r="B232" s="165"/>
      <c r="C232" s="444"/>
      <c r="D232" s="444"/>
      <c r="E232" s="444"/>
      <c r="F232" s="444"/>
      <c r="G232" s="444"/>
      <c r="H232" s="444"/>
      <c r="I232" s="444"/>
      <c r="J232" s="444"/>
      <c r="K232" s="444"/>
      <c r="L232" s="444"/>
      <c r="M232" s="444"/>
      <c r="N232" s="167"/>
    </row>
    <row r="233" spans="2:14" x14ac:dyDescent="0.35">
      <c r="B233" s="165"/>
      <c r="C233" s="166"/>
      <c r="D233" s="166"/>
      <c r="E233" s="166"/>
      <c r="F233" s="166"/>
      <c r="G233" s="166"/>
      <c r="H233" s="166"/>
      <c r="I233" s="166"/>
      <c r="J233" s="166"/>
      <c r="K233" s="166"/>
      <c r="L233" s="166"/>
      <c r="M233" s="166"/>
      <c r="N233" s="167"/>
    </row>
    <row r="234" spans="2:14" x14ac:dyDescent="0.35">
      <c r="B234" s="165"/>
      <c r="C234" s="444" t="s">
        <v>430</v>
      </c>
      <c r="D234" s="444"/>
      <c r="E234" s="444"/>
      <c r="F234" s="444"/>
      <c r="G234" s="444"/>
      <c r="H234" s="444"/>
      <c r="I234" s="444"/>
      <c r="J234" s="444"/>
      <c r="K234" s="444"/>
      <c r="L234" s="444"/>
      <c r="M234" s="444"/>
      <c r="N234" s="167"/>
    </row>
    <row r="235" spans="2:14" x14ac:dyDescent="0.35">
      <c r="B235" s="165"/>
      <c r="C235" s="444"/>
      <c r="D235" s="444"/>
      <c r="E235" s="444"/>
      <c r="F235" s="444"/>
      <c r="G235" s="444"/>
      <c r="H235" s="444"/>
      <c r="I235" s="444"/>
      <c r="J235" s="444"/>
      <c r="K235" s="444"/>
      <c r="L235" s="444"/>
      <c r="M235" s="444"/>
      <c r="N235" s="167"/>
    </row>
    <row r="236" spans="2:14" x14ac:dyDescent="0.35">
      <c r="B236" s="165"/>
      <c r="C236" s="256"/>
      <c r="D236" s="256"/>
      <c r="E236" s="256"/>
      <c r="F236" s="256"/>
      <c r="G236" s="256"/>
      <c r="H236" s="256"/>
      <c r="I236" s="256"/>
      <c r="J236" s="256"/>
      <c r="K236" s="256"/>
      <c r="L236" s="256"/>
      <c r="M236" s="256"/>
      <c r="N236" s="167"/>
    </row>
    <row r="237" spans="2:14" x14ac:dyDescent="0.35">
      <c r="B237" s="165"/>
      <c r="C237" s="444" t="s">
        <v>431</v>
      </c>
      <c r="D237" s="444"/>
      <c r="E237" s="444"/>
      <c r="F237" s="444"/>
      <c r="G237" s="444"/>
      <c r="H237" s="444"/>
      <c r="I237" s="444"/>
      <c r="J237" s="444"/>
      <c r="K237" s="444"/>
      <c r="L237" s="444"/>
      <c r="M237" s="444"/>
      <c r="N237" s="167"/>
    </row>
    <row r="238" spans="2:14" x14ac:dyDescent="0.35">
      <c r="B238" s="165"/>
      <c r="C238" s="444"/>
      <c r="D238" s="444"/>
      <c r="E238" s="444"/>
      <c r="F238" s="444"/>
      <c r="G238" s="444"/>
      <c r="H238" s="444"/>
      <c r="I238" s="444"/>
      <c r="J238" s="444"/>
      <c r="K238" s="444"/>
      <c r="L238" s="444"/>
      <c r="M238" s="444"/>
      <c r="N238" s="167"/>
    </row>
    <row r="239" spans="2:14" x14ac:dyDescent="0.35">
      <c r="B239" s="165"/>
      <c r="C239" s="444"/>
      <c r="D239" s="444"/>
      <c r="E239" s="444"/>
      <c r="F239" s="444"/>
      <c r="G239" s="444"/>
      <c r="H239" s="444"/>
      <c r="I239" s="444"/>
      <c r="J239" s="444"/>
      <c r="K239" s="444"/>
      <c r="L239" s="444"/>
      <c r="M239" s="444"/>
      <c r="N239" s="167"/>
    </row>
    <row r="240" spans="2:14" x14ac:dyDescent="0.35">
      <c r="B240" s="165"/>
      <c r="C240" s="286"/>
      <c r="D240" s="286"/>
      <c r="E240" s="286"/>
      <c r="F240" s="286"/>
      <c r="G240" s="286"/>
      <c r="H240" s="286"/>
      <c r="I240" s="286"/>
      <c r="J240" s="286"/>
      <c r="K240" s="286"/>
      <c r="L240" s="286"/>
      <c r="M240" s="286"/>
      <c r="N240" s="167"/>
    </row>
    <row r="241" spans="2:14" x14ac:dyDescent="0.35">
      <c r="B241" s="165"/>
      <c r="C241" s="444" t="s">
        <v>539</v>
      </c>
      <c r="D241" s="444"/>
      <c r="E241" s="444"/>
      <c r="F241" s="444"/>
      <c r="G241" s="444"/>
      <c r="H241" s="444"/>
      <c r="I241" s="444"/>
      <c r="J241" s="444"/>
      <c r="K241" s="444"/>
      <c r="L241" s="444"/>
      <c r="M241" s="444"/>
      <c r="N241" s="167"/>
    </row>
    <row r="242" spans="2:14" x14ac:dyDescent="0.35">
      <c r="B242" s="165"/>
      <c r="C242" s="444"/>
      <c r="D242" s="444"/>
      <c r="E242" s="444"/>
      <c r="F242" s="444"/>
      <c r="G242" s="444"/>
      <c r="H242" s="444"/>
      <c r="I242" s="444"/>
      <c r="J242" s="444"/>
      <c r="K242" s="444"/>
      <c r="L242" s="444"/>
      <c r="M242" s="444"/>
      <c r="N242" s="167"/>
    </row>
    <row r="243" spans="2:14" x14ac:dyDescent="0.35">
      <c r="B243" s="165"/>
      <c r="C243" s="286"/>
      <c r="D243" s="286"/>
      <c r="E243" s="286"/>
      <c r="F243" s="286"/>
      <c r="G243" s="286"/>
      <c r="H243" s="286"/>
      <c r="I243" s="286"/>
      <c r="J243" s="286"/>
      <c r="K243" s="286"/>
      <c r="L243" s="286"/>
      <c r="M243" s="286"/>
      <c r="N243" s="167"/>
    </row>
    <row r="244" spans="2:14" x14ac:dyDescent="0.35">
      <c r="B244" s="165"/>
      <c r="C244" s="444" t="s">
        <v>386</v>
      </c>
      <c r="D244" s="444"/>
      <c r="E244" s="444"/>
      <c r="F244" s="444"/>
      <c r="G244" s="444"/>
      <c r="H244" s="444"/>
      <c r="I244" s="444"/>
      <c r="J244" s="444"/>
      <c r="K244" s="444"/>
      <c r="L244" s="444"/>
      <c r="M244" s="444"/>
      <c r="N244" s="167"/>
    </row>
    <row r="245" spans="2:14" x14ac:dyDescent="0.35">
      <c r="B245" s="165"/>
      <c r="C245" s="444"/>
      <c r="D245" s="444"/>
      <c r="E245" s="444"/>
      <c r="F245" s="444"/>
      <c r="G245" s="444"/>
      <c r="H245" s="444"/>
      <c r="I245" s="444"/>
      <c r="J245" s="444"/>
      <c r="K245" s="444"/>
      <c r="L245" s="444"/>
      <c r="M245" s="444"/>
      <c r="N245" s="167"/>
    </row>
    <row r="246" spans="2:14" x14ac:dyDescent="0.35">
      <c r="B246" s="165"/>
      <c r="C246" s="166"/>
      <c r="D246" s="166"/>
      <c r="E246" s="166"/>
      <c r="F246" s="166"/>
      <c r="G246" s="166"/>
      <c r="H246" s="166"/>
      <c r="I246" s="166"/>
      <c r="J246" s="166"/>
      <c r="K246" s="166"/>
      <c r="L246" s="166"/>
      <c r="M246" s="166"/>
      <c r="N246" s="167"/>
    </row>
    <row r="247" spans="2:14" x14ac:dyDescent="0.35">
      <c r="B247" s="176"/>
      <c r="C247" s="168" t="s">
        <v>501</v>
      </c>
      <c r="D247" s="168"/>
      <c r="E247" s="168"/>
      <c r="F247" s="168"/>
      <c r="G247" s="168"/>
      <c r="H247" s="168"/>
      <c r="I247" s="168"/>
      <c r="J247" s="168"/>
      <c r="K247" s="168"/>
      <c r="L247" s="168"/>
      <c r="M247" s="168"/>
      <c r="N247" s="178"/>
    </row>
    <row r="248" spans="2:14" x14ac:dyDescent="0.35">
      <c r="B248" s="176"/>
      <c r="C248" s="177"/>
      <c r="D248" s="177"/>
      <c r="E248" s="177"/>
      <c r="F248" s="177"/>
      <c r="G248" s="177"/>
      <c r="H248" s="177"/>
      <c r="I248" s="177"/>
      <c r="J248" s="177"/>
      <c r="K248" s="177"/>
      <c r="L248" s="177"/>
      <c r="M248" s="177"/>
      <c r="N248" s="178"/>
    </row>
    <row r="249" spans="2:14" x14ac:dyDescent="0.35">
      <c r="B249" s="176"/>
      <c r="C249" s="462" t="s">
        <v>340</v>
      </c>
      <c r="D249" s="462"/>
      <c r="E249" s="462"/>
      <c r="F249" s="462"/>
      <c r="G249" s="462"/>
      <c r="H249" s="462"/>
      <c r="I249" s="462"/>
      <c r="J249" s="462"/>
      <c r="K249" s="462"/>
      <c r="L249" s="462"/>
      <c r="M249" s="462"/>
      <c r="N249" s="178"/>
    </row>
    <row r="250" spans="2:14" x14ac:dyDescent="0.35">
      <c r="B250" s="176"/>
      <c r="C250" s="462"/>
      <c r="D250" s="462"/>
      <c r="E250" s="462"/>
      <c r="F250" s="462"/>
      <c r="G250" s="462"/>
      <c r="H250" s="462"/>
      <c r="I250" s="462"/>
      <c r="J250" s="462"/>
      <c r="K250" s="462"/>
      <c r="L250" s="462"/>
      <c r="M250" s="462"/>
      <c r="N250" s="178"/>
    </row>
    <row r="251" spans="2:14" x14ac:dyDescent="0.35">
      <c r="B251" s="176"/>
      <c r="C251" s="177"/>
      <c r="D251" s="177"/>
      <c r="E251" s="177"/>
      <c r="F251" s="177"/>
      <c r="G251" s="177"/>
      <c r="H251" s="177"/>
      <c r="I251" s="177"/>
      <c r="J251" s="177"/>
      <c r="K251" s="177"/>
      <c r="L251" s="177"/>
      <c r="M251" s="177"/>
      <c r="N251" s="178"/>
    </row>
    <row r="252" spans="2:14" x14ac:dyDescent="0.35">
      <c r="B252" s="176"/>
      <c r="C252" s="462" t="s">
        <v>341</v>
      </c>
      <c r="D252" s="462"/>
      <c r="E252" s="462"/>
      <c r="F252" s="462"/>
      <c r="G252" s="462"/>
      <c r="H252" s="462"/>
      <c r="I252" s="462"/>
      <c r="J252" s="462"/>
      <c r="K252" s="462"/>
      <c r="L252" s="462"/>
      <c r="M252" s="462"/>
      <c r="N252" s="178"/>
    </row>
    <row r="253" spans="2:14" x14ac:dyDescent="0.35">
      <c r="B253" s="176"/>
      <c r="C253" s="462"/>
      <c r="D253" s="462"/>
      <c r="E253" s="462"/>
      <c r="F253" s="462"/>
      <c r="G253" s="462"/>
      <c r="H253" s="462"/>
      <c r="I253" s="462"/>
      <c r="J253" s="462"/>
      <c r="K253" s="462"/>
      <c r="L253" s="462"/>
      <c r="M253" s="462"/>
      <c r="N253" s="178"/>
    </row>
    <row r="254" spans="2:14" x14ac:dyDescent="0.35">
      <c r="B254" s="176"/>
      <c r="C254" s="177"/>
      <c r="D254" s="177"/>
      <c r="E254" s="177"/>
      <c r="F254" s="177"/>
      <c r="G254" s="177"/>
      <c r="H254" s="177"/>
      <c r="I254" s="177"/>
      <c r="J254" s="177"/>
      <c r="K254" s="177"/>
      <c r="L254" s="177"/>
      <c r="M254" s="177"/>
      <c r="N254" s="178"/>
    </row>
    <row r="255" spans="2:14" ht="14.5" customHeight="1" x14ac:dyDescent="0.35">
      <c r="B255" s="176"/>
      <c r="C255" s="462" t="s">
        <v>342</v>
      </c>
      <c r="D255" s="462"/>
      <c r="E255" s="462"/>
      <c r="F255" s="462"/>
      <c r="G255" s="462"/>
      <c r="H255" s="462"/>
      <c r="I255" s="462"/>
      <c r="J255" s="462"/>
      <c r="K255" s="462"/>
      <c r="L255" s="462"/>
      <c r="M255" s="462"/>
      <c r="N255" s="178"/>
    </row>
    <row r="256" spans="2:14" x14ac:dyDescent="0.35">
      <c r="B256" s="176"/>
      <c r="C256" s="462"/>
      <c r="D256" s="462"/>
      <c r="E256" s="462"/>
      <c r="F256" s="462"/>
      <c r="G256" s="462"/>
      <c r="H256" s="462"/>
      <c r="I256" s="462"/>
      <c r="J256" s="462"/>
      <c r="K256" s="462"/>
      <c r="L256" s="462"/>
      <c r="M256" s="462"/>
      <c r="N256" s="178"/>
    </row>
    <row r="257" spans="2:14" x14ac:dyDescent="0.35">
      <c r="B257" s="176"/>
      <c r="C257" s="462"/>
      <c r="D257" s="462"/>
      <c r="E257" s="462"/>
      <c r="F257" s="462"/>
      <c r="G257" s="462"/>
      <c r="H257" s="462"/>
      <c r="I257" s="462"/>
      <c r="J257" s="462"/>
      <c r="K257" s="462"/>
      <c r="L257" s="462"/>
      <c r="M257" s="462"/>
      <c r="N257" s="178"/>
    </row>
    <row r="258" spans="2:14" x14ac:dyDescent="0.35">
      <c r="B258" s="176"/>
      <c r="C258" s="179"/>
      <c r="D258" s="179"/>
      <c r="E258" s="179"/>
      <c r="F258" s="179"/>
      <c r="G258" s="179"/>
      <c r="H258" s="179"/>
      <c r="I258" s="179"/>
      <c r="J258" s="179"/>
      <c r="K258" s="179"/>
      <c r="L258" s="179"/>
      <c r="M258" s="179"/>
      <c r="N258" s="178"/>
    </row>
    <row r="259" spans="2:14" ht="15" thickBot="1" x14ac:dyDescent="0.4">
      <c r="B259" s="180"/>
      <c r="C259" s="181"/>
      <c r="D259" s="181"/>
      <c r="E259" s="181"/>
      <c r="F259" s="181"/>
      <c r="G259" s="181"/>
      <c r="H259" s="181"/>
      <c r="I259" s="181"/>
      <c r="J259" s="181"/>
      <c r="K259" s="181"/>
      <c r="L259" s="181"/>
      <c r="M259" s="181"/>
      <c r="N259" s="182"/>
    </row>
  </sheetData>
  <mergeCells count="105">
    <mergeCell ref="C241:M242"/>
    <mergeCell ref="C159:M159"/>
    <mergeCell ref="C249:M250"/>
    <mergeCell ref="C252:M253"/>
    <mergeCell ref="C255:M257"/>
    <mergeCell ref="C167:M168"/>
    <mergeCell ref="C173:M174"/>
    <mergeCell ref="C200:M201"/>
    <mergeCell ref="C234:M235"/>
    <mergeCell ref="C228:M229"/>
    <mergeCell ref="C216:M217"/>
    <mergeCell ref="C170:M171"/>
    <mergeCell ref="C190:M191"/>
    <mergeCell ref="C196:M198"/>
    <mergeCell ref="C209:M211"/>
    <mergeCell ref="C181:M182"/>
    <mergeCell ref="C206:M207"/>
    <mergeCell ref="C184:M185"/>
    <mergeCell ref="C225:M226"/>
    <mergeCell ref="C244:M245"/>
    <mergeCell ref="C237:M239"/>
    <mergeCell ref="C231:M232"/>
    <mergeCell ref="C203:M204"/>
    <mergeCell ref="C219:M220"/>
    <mergeCell ref="C222:M223"/>
    <mergeCell ref="C102:D102"/>
    <mergeCell ref="E102:H102"/>
    <mergeCell ref="I102:K102"/>
    <mergeCell ref="L102:M102"/>
    <mergeCell ref="C141:M143"/>
    <mergeCell ref="C154:M155"/>
    <mergeCell ref="C157:M157"/>
    <mergeCell ref="C150:M152"/>
    <mergeCell ref="C145:M148"/>
    <mergeCell ref="C176:M176"/>
    <mergeCell ref="C187:M188"/>
    <mergeCell ref="C193:M194"/>
    <mergeCell ref="C178:M179"/>
    <mergeCell ref="C164:M165"/>
    <mergeCell ref="C213:M214"/>
    <mergeCell ref="C97:D98"/>
    <mergeCell ref="E97:H97"/>
    <mergeCell ref="I97:K97"/>
    <mergeCell ref="L97:M98"/>
    <mergeCell ref="E98:H98"/>
    <mergeCell ref="I98:K98"/>
    <mergeCell ref="C99:D101"/>
    <mergeCell ref="E99:H99"/>
    <mergeCell ref="I99:K99"/>
    <mergeCell ref="L99:M101"/>
    <mergeCell ref="E100:H100"/>
    <mergeCell ref="I100:K100"/>
    <mergeCell ref="E101:H101"/>
    <mergeCell ref="I101:K101"/>
    <mergeCell ref="C91:D93"/>
    <mergeCell ref="E91:H91"/>
    <mergeCell ref="I91:K91"/>
    <mergeCell ref="L91:M93"/>
    <mergeCell ref="E92:H92"/>
    <mergeCell ref="I92:K92"/>
    <mergeCell ref="E93:H93"/>
    <mergeCell ref="I93:K93"/>
    <mergeCell ref="C94:D96"/>
    <mergeCell ref="E94:H94"/>
    <mergeCell ref="I94:K94"/>
    <mergeCell ref="L94:M96"/>
    <mergeCell ref="E95:H95"/>
    <mergeCell ref="I95:K95"/>
    <mergeCell ref="E96:H96"/>
    <mergeCell ref="I96:K96"/>
    <mergeCell ref="C85:D87"/>
    <mergeCell ref="E85:H85"/>
    <mergeCell ref="I85:K85"/>
    <mergeCell ref="L85:M87"/>
    <mergeCell ref="E86:H86"/>
    <mergeCell ref="I86:K86"/>
    <mergeCell ref="E87:H87"/>
    <mergeCell ref="I87:K87"/>
    <mergeCell ref="C88:D90"/>
    <mergeCell ref="E88:H88"/>
    <mergeCell ref="I88:K88"/>
    <mergeCell ref="L88:M90"/>
    <mergeCell ref="E89:H89"/>
    <mergeCell ref="I89:K89"/>
    <mergeCell ref="E90:H90"/>
    <mergeCell ref="I90:K90"/>
    <mergeCell ref="B2:N2"/>
    <mergeCell ref="C32:M35"/>
    <mergeCell ref="D46:M47"/>
    <mergeCell ref="D48:M49"/>
    <mergeCell ref="D41:M43"/>
    <mergeCell ref="C53:M53"/>
    <mergeCell ref="C68:M70"/>
    <mergeCell ref="C72:M72"/>
    <mergeCell ref="C74:M75"/>
    <mergeCell ref="C82:D82"/>
    <mergeCell ref="E82:H82"/>
    <mergeCell ref="I82:K82"/>
    <mergeCell ref="L82:M82"/>
    <mergeCell ref="C83:D84"/>
    <mergeCell ref="E83:H83"/>
    <mergeCell ref="I83:K83"/>
    <mergeCell ref="L83:M84"/>
    <mergeCell ref="E84:H84"/>
    <mergeCell ref="I84:K84"/>
  </mergeCells>
  <pageMargins left="0.7" right="0.7" top="0.75" bottom="0.75" header="0.3" footer="0.3"/>
  <pageSetup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C82557-50B4-4CA7-A8CA-2D4F778D626F}">
  <sheetPr codeName="Sheet14">
    <tabColor theme="1"/>
  </sheetPr>
  <dimension ref="A1:I32"/>
  <sheetViews>
    <sheetView workbookViewId="0">
      <selection activeCell="B2" sqref="B2:I2"/>
    </sheetView>
  </sheetViews>
  <sheetFormatPr defaultColWidth="8.81640625" defaultRowHeight="14.5" x14ac:dyDescent="0.35"/>
  <sheetData>
    <row r="1" spans="2:9" ht="15" thickBot="1" x14ac:dyDescent="0.4"/>
    <row r="2" spans="2:9" x14ac:dyDescent="0.35">
      <c r="B2" s="466" t="s">
        <v>285</v>
      </c>
      <c r="C2" s="467"/>
      <c r="D2" s="467"/>
      <c r="E2" s="467"/>
      <c r="F2" s="467"/>
      <c r="G2" s="467"/>
      <c r="H2" s="467"/>
      <c r="I2" s="468"/>
    </row>
    <row r="3" spans="2:9" x14ac:dyDescent="0.35">
      <c r="B3" s="463" t="s">
        <v>286</v>
      </c>
      <c r="C3" s="464"/>
      <c r="D3" s="464"/>
      <c r="E3" s="464"/>
      <c r="F3" s="464"/>
      <c r="G3" s="464"/>
      <c r="H3" s="464"/>
      <c r="I3" s="465"/>
    </row>
    <row r="4" spans="2:9" x14ac:dyDescent="0.35">
      <c r="B4" s="183" t="s">
        <v>283</v>
      </c>
      <c r="C4" s="4"/>
      <c r="D4" s="4" t="s">
        <v>284</v>
      </c>
      <c r="E4" s="4"/>
      <c r="F4" s="4"/>
      <c r="G4" s="4"/>
      <c r="H4" s="4"/>
      <c r="I4" s="184"/>
    </row>
    <row r="5" spans="2:9" x14ac:dyDescent="0.35">
      <c r="B5" s="136" t="s">
        <v>287</v>
      </c>
      <c r="C5" s="12"/>
      <c r="D5" s="12" t="s">
        <v>288</v>
      </c>
      <c r="E5" s="12"/>
      <c r="F5" s="12"/>
      <c r="G5" s="12"/>
      <c r="H5" s="12"/>
      <c r="I5" s="143"/>
    </row>
    <row r="6" spans="2:9" x14ac:dyDescent="0.35">
      <c r="B6" s="136" t="s">
        <v>289</v>
      </c>
      <c r="C6" s="12"/>
      <c r="D6" s="12" t="s">
        <v>290</v>
      </c>
      <c r="E6" s="12"/>
      <c r="F6" s="12"/>
      <c r="G6" s="12"/>
      <c r="H6" s="12"/>
      <c r="I6" s="143"/>
    </row>
    <row r="7" spans="2:9" x14ac:dyDescent="0.35">
      <c r="B7" s="185" t="s">
        <v>16</v>
      </c>
      <c r="C7" s="7"/>
      <c r="D7" s="7" t="s">
        <v>299</v>
      </c>
      <c r="E7" s="7"/>
      <c r="F7" s="7"/>
      <c r="G7" s="7"/>
      <c r="H7" s="7"/>
      <c r="I7" s="186"/>
    </row>
    <row r="8" spans="2:9" x14ac:dyDescent="0.35">
      <c r="B8" s="136"/>
      <c r="C8" s="12"/>
      <c r="D8" s="12"/>
      <c r="E8" s="12"/>
      <c r="F8" s="12"/>
      <c r="G8" s="12"/>
      <c r="H8" s="12"/>
      <c r="I8" s="143"/>
    </row>
    <row r="9" spans="2:9" x14ac:dyDescent="0.35">
      <c r="B9" s="463" t="s">
        <v>291</v>
      </c>
      <c r="C9" s="464"/>
      <c r="D9" s="464"/>
      <c r="E9" s="464"/>
      <c r="F9" s="464"/>
      <c r="G9" s="464"/>
      <c r="H9" s="464"/>
      <c r="I9" s="465"/>
    </row>
    <row r="10" spans="2:9" x14ac:dyDescent="0.35">
      <c r="B10" s="183" t="s">
        <v>280</v>
      </c>
      <c r="C10" s="4"/>
      <c r="D10" s="4" t="s">
        <v>292</v>
      </c>
      <c r="E10" s="4"/>
      <c r="F10" s="4"/>
      <c r="G10" s="4"/>
      <c r="H10" s="4"/>
      <c r="I10" s="184"/>
    </row>
    <row r="11" spans="2:9" x14ac:dyDescent="0.35">
      <c r="B11" s="136" t="s">
        <v>90</v>
      </c>
      <c r="C11" s="12"/>
      <c r="D11" s="12" t="s">
        <v>293</v>
      </c>
      <c r="E11" s="12"/>
      <c r="F11" s="12"/>
      <c r="G11" s="12"/>
      <c r="H11" s="12"/>
      <c r="I11" s="143"/>
    </row>
    <row r="12" spans="2:9" x14ac:dyDescent="0.35">
      <c r="B12" s="136" t="s">
        <v>88</v>
      </c>
      <c r="C12" s="12"/>
      <c r="D12" s="58" t="s">
        <v>294</v>
      </c>
      <c r="E12" s="12"/>
      <c r="F12" s="12"/>
      <c r="G12" s="12"/>
      <c r="H12" s="12"/>
      <c r="I12" s="143"/>
    </row>
    <row r="13" spans="2:9" x14ac:dyDescent="0.35">
      <c r="B13" s="185" t="s">
        <v>89</v>
      </c>
      <c r="C13" s="7"/>
      <c r="D13" s="7" t="s">
        <v>353</v>
      </c>
      <c r="E13" s="7"/>
      <c r="F13" s="7"/>
      <c r="G13" s="7"/>
      <c r="H13" s="7"/>
      <c r="I13" s="186"/>
    </row>
    <row r="14" spans="2:9" x14ac:dyDescent="0.35">
      <c r="B14" s="136"/>
      <c r="C14" s="12"/>
      <c r="D14" s="12"/>
      <c r="E14" s="12"/>
      <c r="F14" s="12"/>
      <c r="G14" s="12"/>
      <c r="H14" s="12"/>
      <c r="I14" s="143"/>
    </row>
    <row r="15" spans="2:9" x14ac:dyDescent="0.35">
      <c r="B15" s="463" t="s">
        <v>279</v>
      </c>
      <c r="C15" s="464"/>
      <c r="D15" s="464"/>
      <c r="E15" s="464"/>
      <c r="F15" s="464"/>
      <c r="G15" s="464"/>
      <c r="H15" s="464"/>
      <c r="I15" s="465"/>
    </row>
    <row r="16" spans="2:9" x14ac:dyDescent="0.35">
      <c r="B16" s="183" t="s">
        <v>49</v>
      </c>
      <c r="C16" s="4"/>
      <c r="D16" s="4" t="s">
        <v>551</v>
      </c>
      <c r="E16" s="4"/>
      <c r="F16" s="4"/>
      <c r="G16" s="4"/>
      <c r="H16" s="4"/>
      <c r="I16" s="184"/>
    </row>
    <row r="17" spans="1:9" x14ac:dyDescent="0.35">
      <c r="B17" s="185" t="s">
        <v>52</v>
      </c>
      <c r="C17" s="7"/>
      <c r="D17" s="7" t="s">
        <v>552</v>
      </c>
      <c r="E17" s="7"/>
      <c r="F17" s="7"/>
      <c r="G17" s="7"/>
      <c r="H17" s="7"/>
      <c r="I17" s="186"/>
    </row>
    <row r="18" spans="1:9" x14ac:dyDescent="0.35">
      <c r="B18" s="136"/>
      <c r="C18" s="12"/>
      <c r="D18" s="12"/>
      <c r="E18" s="12"/>
      <c r="F18" s="12"/>
      <c r="G18" s="12"/>
      <c r="H18" s="12"/>
      <c r="I18" s="143"/>
    </row>
    <row r="19" spans="1:9" x14ac:dyDescent="0.35">
      <c r="B19" s="463" t="s">
        <v>177</v>
      </c>
      <c r="C19" s="464"/>
      <c r="D19" s="464"/>
      <c r="E19" s="464"/>
      <c r="F19" s="464"/>
      <c r="G19" s="464"/>
      <c r="H19" s="464"/>
      <c r="I19" s="465"/>
    </row>
    <row r="20" spans="1:9" x14ac:dyDescent="0.35">
      <c r="B20" s="183" t="s">
        <v>175</v>
      </c>
      <c r="C20" s="4"/>
      <c r="D20" s="4" t="s">
        <v>295</v>
      </c>
      <c r="E20" s="4"/>
      <c r="F20" s="4"/>
      <c r="G20" s="4"/>
      <c r="H20" s="4"/>
      <c r="I20" s="184"/>
    </row>
    <row r="21" spans="1:9" x14ac:dyDescent="0.35">
      <c r="B21" s="185" t="s">
        <v>176</v>
      </c>
      <c r="C21" s="7"/>
      <c r="D21" s="7" t="s">
        <v>296</v>
      </c>
      <c r="E21" s="7"/>
      <c r="F21" s="7"/>
      <c r="G21" s="7"/>
      <c r="H21" s="7"/>
      <c r="I21" s="186"/>
    </row>
    <row r="22" spans="1:9" x14ac:dyDescent="0.35">
      <c r="B22" s="136"/>
      <c r="C22" s="12"/>
      <c r="D22" s="12"/>
      <c r="E22" s="12"/>
      <c r="F22" s="12"/>
      <c r="G22" s="12"/>
      <c r="H22" s="12"/>
      <c r="I22" s="143"/>
    </row>
    <row r="23" spans="1:9" x14ac:dyDescent="0.35">
      <c r="B23" s="463" t="s">
        <v>250</v>
      </c>
      <c r="C23" s="464"/>
      <c r="D23" s="464"/>
      <c r="E23" s="464"/>
      <c r="F23" s="464"/>
      <c r="G23" s="464"/>
      <c r="H23" s="464"/>
      <c r="I23" s="465"/>
    </row>
    <row r="24" spans="1:9" x14ac:dyDescent="0.35">
      <c r="B24" s="187" t="s">
        <v>196</v>
      </c>
      <c r="C24" s="35"/>
      <c r="D24" s="35" t="s">
        <v>298</v>
      </c>
      <c r="E24" s="35"/>
      <c r="F24" s="35"/>
      <c r="G24" s="35"/>
      <c r="H24" s="35"/>
      <c r="I24" s="188"/>
    </row>
    <row r="25" spans="1:9" x14ac:dyDescent="0.35">
      <c r="B25" s="136"/>
      <c r="C25" s="12"/>
      <c r="D25" s="12"/>
      <c r="E25" s="12"/>
      <c r="F25" s="12"/>
      <c r="G25" s="12"/>
      <c r="H25" s="12"/>
      <c r="I25" s="143"/>
    </row>
    <row r="26" spans="1:9" x14ac:dyDescent="0.35">
      <c r="B26" s="463" t="s">
        <v>199</v>
      </c>
      <c r="C26" s="464"/>
      <c r="D26" s="464"/>
      <c r="E26" s="464"/>
      <c r="F26" s="464"/>
      <c r="G26" s="464"/>
      <c r="H26" s="464"/>
      <c r="I26" s="465"/>
    </row>
    <row r="27" spans="1:9" x14ac:dyDescent="0.35">
      <c r="B27" s="187" t="s">
        <v>198</v>
      </c>
      <c r="C27" s="35"/>
      <c r="D27" s="35" t="s">
        <v>297</v>
      </c>
      <c r="E27" s="35"/>
      <c r="F27" s="35"/>
      <c r="G27" s="35"/>
      <c r="H27" s="35"/>
      <c r="I27" s="188"/>
    </row>
    <row r="28" spans="1:9" x14ac:dyDescent="0.35">
      <c r="B28" s="136"/>
      <c r="C28" s="12"/>
      <c r="D28" s="12"/>
      <c r="E28" s="12"/>
      <c r="F28" s="12"/>
      <c r="G28" s="12"/>
      <c r="H28" s="12"/>
      <c r="I28" s="143"/>
    </row>
    <row r="29" spans="1:9" x14ac:dyDescent="0.35">
      <c r="A29" s="12"/>
      <c r="B29" s="463" t="s">
        <v>376</v>
      </c>
      <c r="C29" s="464"/>
      <c r="D29" s="464"/>
      <c r="E29" s="464"/>
      <c r="F29" s="464"/>
      <c r="G29" s="464"/>
      <c r="H29" s="464"/>
      <c r="I29" s="465"/>
    </row>
    <row r="30" spans="1:9" x14ac:dyDescent="0.35">
      <c r="B30" s="183" t="s">
        <v>377</v>
      </c>
      <c r="C30" s="4"/>
      <c r="D30" s="4" t="s">
        <v>355</v>
      </c>
      <c r="E30" s="4"/>
      <c r="F30" s="4"/>
      <c r="G30" s="4"/>
      <c r="H30" s="4"/>
      <c r="I30" s="184"/>
    </row>
    <row r="31" spans="1:9" x14ac:dyDescent="0.35">
      <c r="B31" s="185" t="s">
        <v>378</v>
      </c>
      <c r="C31" s="7"/>
      <c r="D31" s="7" t="s">
        <v>356</v>
      </c>
      <c r="E31" s="7"/>
      <c r="F31" s="7"/>
      <c r="G31" s="7"/>
      <c r="H31" s="7"/>
      <c r="I31" s="186"/>
    </row>
    <row r="32" spans="1:9" ht="15" thickBot="1" x14ac:dyDescent="0.4">
      <c r="B32" s="147"/>
      <c r="C32" s="146"/>
      <c r="D32" s="146"/>
      <c r="E32" s="146"/>
      <c r="F32" s="146"/>
      <c r="G32" s="146"/>
      <c r="H32" s="146"/>
      <c r="I32" s="144"/>
    </row>
  </sheetData>
  <mergeCells count="8">
    <mergeCell ref="B29:I29"/>
    <mergeCell ref="B2:I2"/>
    <mergeCell ref="B3:I3"/>
    <mergeCell ref="B26:I26"/>
    <mergeCell ref="B23:I23"/>
    <mergeCell ref="B19:I19"/>
    <mergeCell ref="B15:I15"/>
    <mergeCell ref="B9:I9"/>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CB0239-65B3-4DD3-8C27-956284AA6A9E}">
  <sheetPr codeName="Sheet2">
    <tabColor rgb="FFFF0000"/>
  </sheetPr>
  <dimension ref="A1:BY176"/>
  <sheetViews>
    <sheetView zoomScale="70" zoomScaleNormal="70" workbookViewId="0">
      <pane xSplit="1" topLeftCell="B1" activePane="topRight" state="frozen"/>
      <selection pane="topRight" activeCell="B1" sqref="B1:K2"/>
    </sheetView>
  </sheetViews>
  <sheetFormatPr defaultColWidth="8.81640625" defaultRowHeight="14.5" x14ac:dyDescent="0.35"/>
  <cols>
    <col min="1" max="1" width="2.1796875" customWidth="1"/>
    <col min="2" max="2" width="5.453125" customWidth="1"/>
    <col min="3" max="3" width="16.54296875" customWidth="1"/>
    <col min="5" max="5" width="12.1796875" customWidth="1"/>
    <col min="6" max="6" width="11.26953125" customWidth="1"/>
    <col min="7" max="7" width="10.08984375" customWidth="1"/>
    <col min="8" max="8" width="11.453125" customWidth="1"/>
    <col min="9" max="9" width="9.453125" customWidth="1"/>
    <col min="10" max="10" width="11.54296875" customWidth="1"/>
    <col min="11" max="11" width="7.453125" customWidth="1"/>
    <col min="12" max="12" width="6.1796875" customWidth="1"/>
    <col min="39" max="39" width="8.6328125" customWidth="1"/>
    <col min="40" max="64" width="10.6328125" customWidth="1"/>
    <col min="65" max="65" width="12" customWidth="1"/>
    <col min="66" max="66" width="12.453125" customWidth="1"/>
    <col min="67" max="67" width="13.90625" customWidth="1"/>
    <col min="68" max="68" width="19.08984375" customWidth="1"/>
    <col min="69" max="69" width="20.90625" customWidth="1"/>
    <col min="70" max="70" width="28.453125" customWidth="1"/>
    <col min="71" max="71" width="17.08984375" customWidth="1"/>
    <col min="72" max="72" width="32.7265625" customWidth="1"/>
    <col min="73" max="73" width="12.7265625" customWidth="1"/>
    <col min="74" max="74" width="12.6328125" customWidth="1"/>
    <col min="76" max="76" width="12.36328125" customWidth="1"/>
    <col min="78" max="78" width="12.6328125" bestFit="1" customWidth="1"/>
    <col min="79" max="79" width="12.81640625" bestFit="1" customWidth="1"/>
    <col min="80" max="80" width="19" bestFit="1" customWidth="1"/>
    <col min="81" max="81" width="10.453125" bestFit="1" customWidth="1"/>
    <col min="82" max="82" width="14.6328125" bestFit="1" customWidth="1"/>
  </cols>
  <sheetData>
    <row r="1" spans="2:76" ht="26" customHeight="1" x14ac:dyDescent="0.35">
      <c r="B1" s="472" t="s">
        <v>276</v>
      </c>
      <c r="C1" s="473"/>
      <c r="D1" s="473"/>
      <c r="E1" s="473"/>
      <c r="F1" s="473"/>
      <c r="G1" s="473"/>
      <c r="H1" s="473"/>
      <c r="I1" s="473"/>
      <c r="J1" s="473"/>
      <c r="K1" s="474"/>
      <c r="M1" s="481" t="s">
        <v>274</v>
      </c>
      <c r="N1" s="482"/>
      <c r="O1" s="482"/>
      <c r="P1" s="482"/>
      <c r="Q1" s="482"/>
      <c r="R1" s="482"/>
      <c r="S1" s="482"/>
      <c r="T1" s="482"/>
      <c r="U1" s="482"/>
      <c r="V1" s="482"/>
      <c r="W1" s="482"/>
      <c r="X1" s="482"/>
      <c r="Y1" s="482"/>
      <c r="Z1" s="482"/>
      <c r="AA1" s="482"/>
      <c r="AB1" s="482"/>
      <c r="AC1" s="482"/>
      <c r="AD1" s="482"/>
      <c r="AE1" s="482"/>
      <c r="AF1" s="482"/>
      <c r="AG1" s="482"/>
      <c r="AH1" s="482"/>
      <c r="AI1" s="482"/>
      <c r="AJ1" s="482"/>
      <c r="AK1" s="482"/>
      <c r="AL1" s="482"/>
      <c r="AM1" s="483"/>
      <c r="BO1" s="258" t="s">
        <v>83</v>
      </c>
      <c r="BP1" s="258" t="s">
        <v>84</v>
      </c>
      <c r="BQ1" s="258" t="s">
        <v>516</v>
      </c>
      <c r="BR1" s="258" t="s">
        <v>514</v>
      </c>
      <c r="BS1" s="258" t="s">
        <v>143</v>
      </c>
      <c r="BT1" s="258" t="s">
        <v>515</v>
      </c>
      <c r="BU1" s="258" t="s">
        <v>62</v>
      </c>
      <c r="BV1" s="258" t="s">
        <v>33</v>
      </c>
      <c r="BW1" s="159"/>
      <c r="BX1" s="159"/>
    </row>
    <row r="2" spans="2:76" ht="14.5" customHeight="1" x14ac:dyDescent="0.35">
      <c r="B2" s="475"/>
      <c r="C2" s="476"/>
      <c r="D2" s="476"/>
      <c r="E2" s="476"/>
      <c r="F2" s="476"/>
      <c r="G2" s="476"/>
      <c r="H2" s="476"/>
      <c r="I2" s="476"/>
      <c r="J2" s="476"/>
      <c r="K2" s="477"/>
      <c r="M2" s="484"/>
      <c r="N2" s="485"/>
      <c r="O2" s="485"/>
      <c r="P2" s="485"/>
      <c r="Q2" s="485"/>
      <c r="R2" s="485"/>
      <c r="S2" s="485"/>
      <c r="T2" s="485"/>
      <c r="U2" s="485"/>
      <c r="V2" s="485"/>
      <c r="W2" s="485"/>
      <c r="X2" s="485"/>
      <c r="Y2" s="485"/>
      <c r="Z2" s="485"/>
      <c r="AA2" s="485"/>
      <c r="AB2" s="485"/>
      <c r="AC2" s="485"/>
      <c r="AD2" s="485"/>
      <c r="AE2" s="485"/>
      <c r="AF2" s="485"/>
      <c r="AG2" s="485"/>
      <c r="AH2" s="485"/>
      <c r="AI2" s="485"/>
      <c r="AJ2" s="485"/>
      <c r="AK2" s="485"/>
      <c r="AL2" s="485"/>
      <c r="AM2" s="486"/>
      <c r="BO2" s="259" t="s">
        <v>674</v>
      </c>
      <c r="BP2" s="259" t="s">
        <v>88</v>
      </c>
      <c r="BQ2" s="259">
        <f>Mineralization!AU13</f>
        <v>-0.20222929936305734</v>
      </c>
      <c r="BR2" s="259">
        <f>Mineralization!AV13</f>
        <v>3.6401273885350319E-2</v>
      </c>
      <c r="BS2" s="259">
        <f>Mineralization!AW13</f>
        <v>0</v>
      </c>
      <c r="BT2" s="259">
        <f>Mineralization!AX13</f>
        <v>0</v>
      </c>
      <c r="BU2" s="259">
        <f>Mineralization!AY13</f>
        <v>4.4200000000000001E-4</v>
      </c>
      <c r="BV2" s="259">
        <f>Mineralization!AZ13</f>
        <v>-0.13658191776142126</v>
      </c>
      <c r="BW2" s="108"/>
      <c r="BX2" s="108"/>
    </row>
    <row r="3" spans="2:76" ht="14.5" customHeight="1" thickBot="1" x14ac:dyDescent="0.4">
      <c r="M3" s="148"/>
      <c r="N3" s="12"/>
      <c r="O3" s="12"/>
      <c r="P3" s="12"/>
      <c r="Q3" s="12"/>
      <c r="R3" s="12"/>
      <c r="S3" s="12"/>
      <c r="T3" s="12"/>
      <c r="U3" s="12"/>
      <c r="V3" s="12"/>
      <c r="W3" s="12"/>
      <c r="X3" s="12"/>
      <c r="Y3" s="12"/>
      <c r="Z3" s="12"/>
      <c r="AA3" s="12"/>
      <c r="AB3" s="12"/>
      <c r="AC3" s="12"/>
      <c r="AD3" s="12"/>
      <c r="AE3" s="12"/>
      <c r="AF3" s="12"/>
      <c r="AG3" s="12"/>
      <c r="AH3" s="12"/>
      <c r="AI3" s="12"/>
      <c r="AJ3" s="12"/>
      <c r="AK3" s="12"/>
      <c r="AL3" s="12"/>
      <c r="AM3" s="149"/>
      <c r="BO3" s="259" t="s">
        <v>202</v>
      </c>
      <c r="BP3" s="259" t="s">
        <v>210</v>
      </c>
      <c r="BQ3" s="259"/>
      <c r="BR3" s="259"/>
      <c r="BS3" s="259"/>
      <c r="BT3" s="259"/>
      <c r="BU3" s="259"/>
      <c r="BV3" s="259">
        <f>'Emission Factors'!$S$33</f>
        <v>0.82</v>
      </c>
      <c r="BW3" s="108"/>
      <c r="BX3" s="108"/>
    </row>
    <row r="4" spans="2:76" ht="25" customHeight="1" x14ac:dyDescent="0.8">
      <c r="B4" s="478" t="s">
        <v>275</v>
      </c>
      <c r="C4" s="479"/>
      <c r="D4" s="479"/>
      <c r="E4" s="479"/>
      <c r="F4" s="479"/>
      <c r="G4" s="479"/>
      <c r="H4" s="479"/>
      <c r="I4" s="479"/>
      <c r="J4" s="479"/>
      <c r="K4" s="480"/>
      <c r="M4" s="469" t="s">
        <v>483</v>
      </c>
      <c r="N4" s="470"/>
      <c r="O4" s="470"/>
      <c r="P4" s="470"/>
      <c r="Q4" s="470"/>
      <c r="R4" s="470"/>
      <c r="S4" s="470"/>
      <c r="T4" s="470"/>
      <c r="U4" s="470"/>
      <c r="V4" s="470"/>
      <c r="W4" s="470"/>
      <c r="X4" s="470"/>
      <c r="Y4" s="470"/>
      <c r="Z4" s="470"/>
      <c r="AA4" s="470"/>
      <c r="AB4" s="470"/>
      <c r="AC4" s="470"/>
      <c r="AD4" s="470"/>
      <c r="AE4" s="470"/>
      <c r="AF4" s="470"/>
      <c r="AG4" s="470"/>
      <c r="AH4" s="470"/>
      <c r="AI4" s="470"/>
      <c r="AJ4" s="470"/>
      <c r="AK4" s="470"/>
      <c r="AL4" s="470"/>
      <c r="AM4" s="471"/>
      <c r="BO4" s="407"/>
      <c r="BP4" s="408"/>
      <c r="BQ4" s="408"/>
      <c r="BR4" s="408"/>
      <c r="BS4" s="408"/>
      <c r="BT4" s="408"/>
      <c r="BU4" s="408"/>
      <c r="BV4" s="409"/>
      <c r="BW4" s="108"/>
      <c r="BX4" s="108"/>
    </row>
    <row r="5" spans="2:76" ht="25" customHeight="1" x14ac:dyDescent="0.45">
      <c r="B5" s="136"/>
      <c r="C5" s="110"/>
      <c r="D5" s="110"/>
      <c r="E5" s="110"/>
      <c r="F5" s="110"/>
      <c r="G5" s="12"/>
      <c r="H5" s="110"/>
      <c r="I5" s="110"/>
      <c r="J5" s="110"/>
      <c r="K5" s="137"/>
      <c r="M5" s="148"/>
      <c r="N5" s="12"/>
      <c r="O5" s="12"/>
      <c r="P5" s="12"/>
      <c r="Q5" s="12"/>
      <c r="R5" s="12"/>
      <c r="S5" s="12"/>
      <c r="T5" s="12"/>
      <c r="U5" s="12"/>
      <c r="V5" s="12"/>
      <c r="W5" s="12"/>
      <c r="X5" s="12"/>
      <c r="Y5" s="12"/>
      <c r="Z5" s="12"/>
      <c r="AA5" s="12"/>
      <c r="AB5" s="12"/>
      <c r="AC5" s="12"/>
      <c r="AD5" s="12"/>
      <c r="AE5" s="12"/>
      <c r="AF5" s="12"/>
      <c r="AG5" s="12"/>
      <c r="AH5" s="12"/>
      <c r="AI5" s="12"/>
      <c r="AJ5" s="12"/>
      <c r="AK5" s="12"/>
      <c r="AL5" s="12"/>
      <c r="AM5" s="149"/>
      <c r="BE5" s="215"/>
      <c r="BF5" s="216"/>
      <c r="BO5" s="402"/>
      <c r="BP5" s="259"/>
      <c r="BQ5" s="259"/>
      <c r="BR5" s="259"/>
      <c r="BS5" s="259"/>
      <c r="BT5" s="259"/>
      <c r="BU5" s="259"/>
      <c r="BV5" s="403"/>
      <c r="BW5" s="108"/>
      <c r="BX5" s="108"/>
    </row>
    <row r="6" spans="2:76" ht="23.5" customHeight="1" x14ac:dyDescent="0.35">
      <c r="B6" s="136"/>
      <c r="C6" s="12"/>
      <c r="D6" s="12"/>
      <c r="E6" s="12"/>
      <c r="F6" s="12"/>
      <c r="G6" s="12"/>
      <c r="H6" s="12"/>
      <c r="I6" s="110"/>
      <c r="J6" s="110"/>
      <c r="K6" s="137"/>
      <c r="M6" s="148"/>
      <c r="N6" s="12"/>
      <c r="O6" s="12"/>
      <c r="P6" s="12"/>
      <c r="Q6" s="12"/>
      <c r="R6" s="12"/>
      <c r="S6" s="12"/>
      <c r="T6" s="12"/>
      <c r="U6" s="12"/>
      <c r="V6" s="12"/>
      <c r="W6" s="12"/>
      <c r="X6" s="12"/>
      <c r="Y6" s="12"/>
      <c r="Z6" s="12"/>
      <c r="AA6" s="12"/>
      <c r="AB6" s="12"/>
      <c r="AC6" s="12"/>
      <c r="AD6" s="12"/>
      <c r="AE6" s="12"/>
      <c r="AF6" s="12"/>
      <c r="AG6" s="12"/>
      <c r="AH6" s="12"/>
      <c r="AI6" s="12"/>
      <c r="AJ6" s="12"/>
      <c r="AK6" s="12"/>
      <c r="AL6" s="12"/>
      <c r="AM6" s="149"/>
      <c r="BO6" s="404"/>
      <c r="BP6" s="393"/>
      <c r="BQ6" s="394"/>
      <c r="BR6" s="394"/>
      <c r="BS6" s="394"/>
      <c r="BT6" s="394"/>
      <c r="BU6" s="394"/>
      <c r="BV6" s="405"/>
      <c r="BW6" s="108"/>
    </row>
    <row r="7" spans="2:76" ht="15.5" customHeight="1" x14ac:dyDescent="0.35">
      <c r="B7" s="136"/>
      <c r="C7" s="12"/>
      <c r="D7" s="12"/>
      <c r="E7" s="12"/>
      <c r="F7" s="12"/>
      <c r="G7" s="12"/>
      <c r="H7" s="12"/>
      <c r="I7" s="110"/>
      <c r="J7" s="110"/>
      <c r="K7" s="137"/>
      <c r="M7" s="148"/>
      <c r="N7" s="12"/>
      <c r="O7" s="12"/>
      <c r="P7" s="12"/>
      <c r="Q7" s="12"/>
      <c r="R7" s="12"/>
      <c r="S7" s="12"/>
      <c r="T7" s="12"/>
      <c r="U7" s="12"/>
      <c r="V7" s="12"/>
      <c r="W7" s="12"/>
      <c r="X7" s="12"/>
      <c r="Y7" s="12"/>
      <c r="Z7" s="12"/>
      <c r="AA7" s="12"/>
      <c r="AB7" s="12"/>
      <c r="AC7" s="12"/>
      <c r="AD7" s="12"/>
      <c r="AE7" s="12"/>
      <c r="AF7" s="12"/>
      <c r="AG7" s="12"/>
      <c r="AH7" s="12"/>
      <c r="AI7" s="12"/>
      <c r="AJ7" s="12"/>
      <c r="AK7" s="12"/>
      <c r="AL7" s="12"/>
      <c r="AM7" s="149"/>
      <c r="BO7" s="404"/>
      <c r="BP7" s="393"/>
      <c r="BQ7" s="394"/>
      <c r="BR7" s="394"/>
      <c r="BS7" s="394"/>
      <c r="BT7" s="394"/>
      <c r="BU7" s="394"/>
      <c r="BV7" s="405"/>
      <c r="BW7" s="108"/>
    </row>
    <row r="8" spans="2:76" ht="16.5" customHeight="1" x14ac:dyDescent="0.35">
      <c r="B8" s="241" t="s">
        <v>481</v>
      </c>
      <c r="C8" s="12"/>
      <c r="D8" s="12"/>
      <c r="E8" s="12"/>
      <c r="F8" s="239" t="s">
        <v>482</v>
      </c>
      <c r="G8" s="12"/>
      <c r="H8" s="12"/>
      <c r="I8" s="110"/>
      <c r="J8" s="110"/>
      <c r="K8" s="137"/>
      <c r="M8" s="148"/>
      <c r="N8" s="12"/>
      <c r="O8" s="12"/>
      <c r="P8" s="12"/>
      <c r="Q8" s="12"/>
      <c r="R8" s="12"/>
      <c r="S8" s="12"/>
      <c r="T8" s="12"/>
      <c r="U8" s="12"/>
      <c r="V8" s="12"/>
      <c r="W8" s="12"/>
      <c r="X8" s="12"/>
      <c r="Y8" s="12"/>
      <c r="Z8" s="12"/>
      <c r="AA8" s="12"/>
      <c r="AB8" s="12"/>
      <c r="AC8" s="12"/>
      <c r="AD8" s="12"/>
      <c r="AE8" s="12"/>
      <c r="AF8" s="12"/>
      <c r="AG8" s="12"/>
      <c r="AH8" s="12"/>
      <c r="AI8" s="12"/>
      <c r="AJ8" s="12"/>
      <c r="AK8" s="12"/>
      <c r="AL8" s="12"/>
      <c r="AM8" s="149"/>
      <c r="BO8" s="406"/>
      <c r="BP8" s="260"/>
      <c r="BQ8" s="260"/>
      <c r="BR8" s="261"/>
      <c r="BS8" s="261"/>
      <c r="BT8" s="261"/>
      <c r="BU8" s="261"/>
      <c r="BV8" s="420"/>
      <c r="BW8" s="108"/>
    </row>
    <row r="9" spans="2:76" ht="16" customHeight="1" x14ac:dyDescent="0.35">
      <c r="B9" s="136"/>
      <c r="C9" s="12"/>
      <c r="D9" s="12"/>
      <c r="E9" s="12"/>
      <c r="F9" s="12"/>
      <c r="G9" s="189"/>
      <c r="H9" s="189"/>
      <c r="I9" s="189"/>
      <c r="J9" s="110"/>
      <c r="K9" s="137"/>
      <c r="M9" s="148"/>
      <c r="N9" s="12"/>
      <c r="O9" s="12"/>
      <c r="P9" s="12"/>
      <c r="Q9" s="12"/>
      <c r="R9" s="12"/>
      <c r="S9" s="12"/>
      <c r="T9" s="12"/>
      <c r="U9" s="12"/>
      <c r="V9" s="12"/>
      <c r="W9" s="12"/>
      <c r="X9" s="12"/>
      <c r="Y9" s="12"/>
      <c r="Z9" s="12"/>
      <c r="AA9" s="12"/>
      <c r="AB9" s="12"/>
      <c r="AC9" s="12"/>
      <c r="AD9" s="12"/>
      <c r="AE9" s="12"/>
      <c r="AF9" s="12"/>
      <c r="AG9" s="12"/>
      <c r="AH9" s="12"/>
      <c r="AI9" s="12"/>
      <c r="AJ9" s="12"/>
      <c r="AK9" s="12"/>
      <c r="AL9" s="12"/>
      <c r="AM9" s="149"/>
      <c r="BM9" s="298"/>
      <c r="BN9" s="298"/>
      <c r="BO9" s="298"/>
      <c r="BP9" s="298"/>
      <c r="BQ9" s="298"/>
      <c r="BR9" s="299"/>
      <c r="BS9" s="299"/>
      <c r="BT9" s="299"/>
      <c r="BU9" s="299"/>
      <c r="BV9" s="300"/>
      <c r="BW9" s="301"/>
      <c r="BX9" s="24"/>
    </row>
    <row r="10" spans="2:76" ht="20.5" customHeight="1" x14ac:dyDescent="0.45">
      <c r="B10" s="138" t="s">
        <v>162</v>
      </c>
      <c r="C10" s="110"/>
      <c r="D10" s="110"/>
      <c r="E10" s="110"/>
      <c r="F10" s="272"/>
      <c r="G10" s="35"/>
      <c r="H10" s="271"/>
      <c r="I10" s="239"/>
      <c r="J10" s="239" t="s">
        <v>578</v>
      </c>
      <c r="K10" s="137"/>
      <c r="M10" s="148"/>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49"/>
      <c r="BM10" s="298"/>
      <c r="BN10" s="298"/>
      <c r="BO10" s="298"/>
      <c r="BP10" s="298"/>
      <c r="BQ10" s="298"/>
      <c r="BR10" s="299"/>
      <c r="BS10" s="299"/>
      <c r="BT10" s="299"/>
      <c r="BU10" s="299"/>
      <c r="BV10" s="300"/>
      <c r="BW10" s="301"/>
      <c r="BX10" s="24"/>
    </row>
    <row r="11" spans="2:76" ht="15.5" x14ac:dyDescent="0.35">
      <c r="B11" s="138"/>
      <c r="C11" s="110"/>
      <c r="D11" s="110"/>
      <c r="E11" s="110"/>
      <c r="F11" s="257"/>
      <c r="G11" s="12"/>
      <c r="H11" s="12"/>
      <c r="I11" s="239"/>
      <c r="J11" s="110"/>
      <c r="K11" s="137"/>
      <c r="M11" s="148"/>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49"/>
      <c r="BM11" s="298"/>
      <c r="BN11" s="298"/>
      <c r="BO11" s="298"/>
      <c r="BP11" s="298"/>
      <c r="BQ11" s="298"/>
      <c r="BR11" s="299"/>
      <c r="BS11" s="299"/>
      <c r="BT11" s="299"/>
      <c r="BU11" s="299"/>
      <c r="BV11" s="159"/>
      <c r="BW11" s="301"/>
      <c r="BX11" s="24"/>
    </row>
    <row r="12" spans="2:76" ht="22.5" customHeight="1" x14ac:dyDescent="0.45">
      <c r="B12" s="138" t="s">
        <v>163</v>
      </c>
      <c r="C12" s="110"/>
      <c r="D12" s="110"/>
      <c r="E12" s="110"/>
      <c r="F12" s="272"/>
      <c r="G12" s="225"/>
      <c r="H12" s="271"/>
      <c r="I12" s="239"/>
      <c r="J12" s="239" t="s">
        <v>661</v>
      </c>
      <c r="K12" s="137"/>
      <c r="M12" s="148"/>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49"/>
      <c r="BO12" s="297"/>
      <c r="BP12" s="297"/>
      <c r="BQ12" s="297"/>
      <c r="BR12" s="297"/>
      <c r="BS12" s="297"/>
      <c r="BT12" s="297"/>
      <c r="BU12" s="297"/>
      <c r="BV12" s="297"/>
      <c r="BW12" s="24"/>
      <c r="BX12" s="24"/>
    </row>
    <row r="13" spans="2:76" ht="15.5" x14ac:dyDescent="0.35">
      <c r="B13" s="138"/>
      <c r="C13" s="110"/>
      <c r="D13" s="110"/>
      <c r="E13" s="110"/>
      <c r="F13" s="257"/>
      <c r="G13" s="12"/>
      <c r="H13" s="12"/>
      <c r="I13" s="239"/>
      <c r="J13" s="110"/>
      <c r="K13" s="137"/>
      <c r="M13" s="148"/>
      <c r="N13" s="12"/>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49"/>
      <c r="BO13" s="297"/>
      <c r="BP13" s="297"/>
      <c r="BQ13" s="297"/>
      <c r="BR13" s="297"/>
      <c r="BS13" s="297"/>
      <c r="BT13" s="297"/>
      <c r="BU13" s="297"/>
      <c r="BV13" s="297"/>
    </row>
    <row r="14" spans="2:76" ht="25.5" customHeight="1" x14ac:dyDescent="0.45">
      <c r="B14" s="138" t="s">
        <v>165</v>
      </c>
      <c r="C14" s="110"/>
      <c r="D14" s="110"/>
      <c r="E14" s="110"/>
      <c r="F14" s="272"/>
      <c r="G14" s="35"/>
      <c r="H14" s="271"/>
      <c r="I14" s="239"/>
      <c r="J14" s="239" t="s">
        <v>579</v>
      </c>
      <c r="K14" s="137"/>
      <c r="M14" s="148"/>
      <c r="N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49"/>
      <c r="BO14" s="297"/>
      <c r="BP14" s="297"/>
      <c r="BQ14" s="297"/>
      <c r="BR14" s="297"/>
      <c r="BS14" s="297"/>
      <c r="BT14" s="297"/>
      <c r="BU14" s="297"/>
      <c r="BV14" s="297"/>
    </row>
    <row r="15" spans="2:76" ht="15.5" x14ac:dyDescent="0.35">
      <c r="B15" s="138"/>
      <c r="C15" s="110"/>
      <c r="D15" s="110"/>
      <c r="E15" s="110"/>
      <c r="F15" s="257"/>
      <c r="G15" s="12"/>
      <c r="H15" s="12"/>
      <c r="I15" s="239"/>
      <c r="J15" s="110"/>
      <c r="K15" s="143"/>
      <c r="M15" s="148"/>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49"/>
      <c r="BO15" s="159"/>
      <c r="BP15" s="297"/>
      <c r="BQ15" s="297"/>
      <c r="BR15" s="297"/>
      <c r="BS15" s="297"/>
      <c r="BT15" s="297"/>
      <c r="BU15" s="297"/>
      <c r="BV15" s="297"/>
    </row>
    <row r="16" spans="2:76" ht="23" customHeight="1" x14ac:dyDescent="0.45">
      <c r="B16" s="138" t="s">
        <v>164</v>
      </c>
      <c r="C16" s="110"/>
      <c r="D16" s="110"/>
      <c r="E16" s="110"/>
      <c r="F16" s="272"/>
      <c r="G16" s="35"/>
      <c r="H16" s="271"/>
      <c r="I16" s="239"/>
      <c r="J16" s="239" t="s">
        <v>580</v>
      </c>
      <c r="K16" s="143"/>
      <c r="M16" s="148"/>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49"/>
      <c r="BO16" s="297"/>
      <c r="BP16" s="297"/>
      <c r="BQ16" s="297"/>
      <c r="BR16" s="297"/>
      <c r="BS16" s="297"/>
      <c r="BT16" s="297"/>
      <c r="BU16" s="297"/>
      <c r="BV16" s="297"/>
    </row>
    <row r="17" spans="2:74" ht="15.5" x14ac:dyDescent="0.35">
      <c r="B17" s="138"/>
      <c r="C17" s="110"/>
      <c r="D17" s="110"/>
      <c r="E17" s="110"/>
      <c r="F17" s="257"/>
      <c r="G17" s="12"/>
      <c r="H17" s="12"/>
      <c r="I17" s="239"/>
      <c r="J17" s="110"/>
      <c r="K17" s="143"/>
      <c r="M17" s="148"/>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49"/>
      <c r="BO17" s="297"/>
      <c r="BP17" s="297"/>
      <c r="BQ17" s="297"/>
      <c r="BR17" s="297"/>
      <c r="BS17" s="297"/>
      <c r="BT17" s="297"/>
      <c r="BU17" s="297"/>
      <c r="BV17" s="297"/>
    </row>
    <row r="18" spans="2:74" ht="23.5" customHeight="1" x14ac:dyDescent="0.45">
      <c r="B18" s="241" t="s">
        <v>486</v>
      </c>
      <c r="C18" s="155"/>
      <c r="D18" s="155"/>
      <c r="E18" s="155"/>
      <c r="F18" s="272"/>
      <c r="G18" s="225"/>
      <c r="H18" s="271"/>
      <c r="I18" s="239"/>
      <c r="J18" s="239" t="s">
        <v>581</v>
      </c>
      <c r="K18" s="143"/>
      <c r="M18" s="148"/>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49"/>
      <c r="BO18" s="297"/>
      <c r="BP18" s="297"/>
      <c r="BQ18" s="297"/>
      <c r="BR18" s="300"/>
      <c r="BS18" s="297"/>
      <c r="BT18" s="297"/>
      <c r="BU18" s="297"/>
      <c r="BV18" s="297"/>
    </row>
    <row r="19" spans="2:74" ht="17.5" x14ac:dyDescent="0.45">
      <c r="B19" s="136"/>
      <c r="C19" s="12"/>
      <c r="D19" s="12"/>
      <c r="E19" s="12"/>
      <c r="F19" s="12"/>
      <c r="G19" s="12"/>
      <c r="H19" s="12"/>
      <c r="I19" s="12"/>
      <c r="J19" s="239" t="s">
        <v>662</v>
      </c>
      <c r="K19" s="143"/>
      <c r="M19" s="148"/>
      <c r="N19" s="12"/>
      <c r="O19" s="12"/>
      <c r="P19" s="12"/>
      <c r="Q19" s="12"/>
      <c r="R19" s="12"/>
      <c r="S19" s="12"/>
      <c r="T19" s="12"/>
      <c r="U19" s="12"/>
      <c r="V19" s="12"/>
      <c r="W19" s="12"/>
      <c r="X19" s="12"/>
      <c r="Y19" s="12"/>
      <c r="Z19" s="12"/>
      <c r="AA19" s="12"/>
      <c r="AB19" s="12"/>
      <c r="AC19" s="12"/>
      <c r="AD19" s="12"/>
      <c r="AE19" s="12"/>
      <c r="AF19" s="12"/>
      <c r="AG19" s="12"/>
      <c r="AH19" s="12"/>
      <c r="AI19" s="12"/>
      <c r="AJ19" s="12"/>
      <c r="AK19" s="12"/>
      <c r="AL19" s="12"/>
      <c r="AM19" s="149"/>
      <c r="BO19" s="297"/>
      <c r="BP19" s="297"/>
      <c r="BQ19" s="297"/>
      <c r="BR19" s="297"/>
      <c r="BS19" s="297"/>
      <c r="BT19" s="297"/>
      <c r="BU19" s="297"/>
      <c r="BV19" s="297"/>
    </row>
    <row r="20" spans="2:74" ht="15.5" x14ac:dyDescent="0.35">
      <c r="B20" s="241"/>
      <c r="C20" s="239"/>
      <c r="D20" s="12"/>
      <c r="E20" s="12"/>
      <c r="F20" s="12"/>
      <c r="G20" s="12"/>
      <c r="H20" s="12"/>
      <c r="I20" s="239"/>
      <c r="J20" s="239"/>
      <c r="K20" s="287"/>
      <c r="M20" s="148"/>
      <c r="N20" s="12"/>
      <c r="O20" s="12"/>
      <c r="P20" s="12"/>
      <c r="Q20" s="12"/>
      <c r="R20" s="12"/>
      <c r="S20" s="12"/>
      <c r="T20" s="12"/>
      <c r="U20" s="12"/>
      <c r="V20" s="12"/>
      <c r="W20" s="12"/>
      <c r="X20" s="12"/>
      <c r="Y20" s="12"/>
      <c r="Z20" s="12"/>
      <c r="AA20" s="12"/>
      <c r="AB20" s="12"/>
      <c r="AC20" s="12"/>
      <c r="AD20" s="12"/>
      <c r="AE20" s="12"/>
      <c r="AF20" s="12"/>
      <c r="AG20" s="12"/>
      <c r="AH20" s="12"/>
      <c r="AI20" s="12"/>
      <c r="AJ20" s="12"/>
      <c r="AK20" s="12"/>
      <c r="AL20" s="12"/>
      <c r="AM20" s="149"/>
      <c r="BO20" s="297"/>
      <c r="BP20" s="297"/>
      <c r="BQ20" s="297"/>
      <c r="BR20" s="297"/>
      <c r="BS20" s="297"/>
      <c r="BT20" s="297"/>
      <c r="BU20" s="297"/>
      <c r="BV20" s="297"/>
    </row>
    <row r="21" spans="2:74" ht="15.5" x14ac:dyDescent="0.35">
      <c r="B21" s="241"/>
      <c r="C21" s="239"/>
      <c r="D21" s="12"/>
      <c r="E21" s="12"/>
      <c r="F21" s="12"/>
      <c r="G21" s="12"/>
      <c r="H21" s="158"/>
      <c r="I21" s="239"/>
      <c r="J21" s="239"/>
      <c r="K21" s="287"/>
      <c r="M21" s="148"/>
      <c r="N21" s="12"/>
      <c r="O21" s="12"/>
      <c r="P21" s="12"/>
      <c r="Q21" s="12"/>
      <c r="R21" s="12"/>
      <c r="S21" s="12"/>
      <c r="T21" s="12"/>
      <c r="U21" s="12"/>
      <c r="V21" s="12"/>
      <c r="W21" s="12"/>
      <c r="X21" s="12"/>
      <c r="Y21" s="12"/>
      <c r="Z21" s="12"/>
      <c r="AA21" s="12"/>
      <c r="AB21" s="12"/>
      <c r="AC21" s="12"/>
      <c r="AD21" s="12"/>
      <c r="AE21" s="12"/>
      <c r="AF21" s="12"/>
      <c r="AG21" s="12"/>
      <c r="AH21" s="12"/>
      <c r="AI21" s="12"/>
      <c r="AJ21" s="12"/>
      <c r="AK21" s="12"/>
      <c r="AL21" s="12"/>
      <c r="AM21" s="149"/>
      <c r="BO21" s="297"/>
      <c r="BP21" s="297"/>
      <c r="BQ21" s="297"/>
      <c r="BR21" s="297"/>
      <c r="BS21" s="297"/>
      <c r="BT21" s="297"/>
      <c r="BU21" s="297"/>
      <c r="BV21" s="297"/>
    </row>
    <row r="22" spans="2:74" ht="21.5" customHeight="1" x14ac:dyDescent="0.35">
      <c r="B22" s="241"/>
      <c r="C22" s="239"/>
      <c r="D22" s="12"/>
      <c r="E22" s="12"/>
      <c r="F22" s="12"/>
      <c r="G22" s="12"/>
      <c r="H22" s="12"/>
      <c r="I22" s="239"/>
      <c r="J22" s="239"/>
      <c r="K22" s="287"/>
      <c r="M22" s="148"/>
      <c r="N22" s="12"/>
      <c r="O22" s="12"/>
      <c r="P22" s="12"/>
      <c r="Q22" s="12"/>
      <c r="R22" s="12"/>
      <c r="S22" s="12"/>
      <c r="T22" s="12"/>
      <c r="U22" s="12"/>
      <c r="V22" s="12"/>
      <c r="W22" s="12"/>
      <c r="X22" s="12"/>
      <c r="Y22" s="12"/>
      <c r="Z22" s="12"/>
      <c r="AA22" s="12"/>
      <c r="AB22" s="12"/>
      <c r="AC22" s="12"/>
      <c r="AD22" s="12"/>
      <c r="AE22" s="12"/>
      <c r="AF22" s="12"/>
      <c r="AG22" s="12"/>
      <c r="AH22" s="12"/>
      <c r="AI22" s="12"/>
      <c r="AJ22" s="12"/>
      <c r="AK22" s="12"/>
      <c r="AL22" s="12"/>
      <c r="AM22" s="149"/>
      <c r="BO22" s="297"/>
      <c r="BP22" s="297"/>
      <c r="BQ22" s="297"/>
      <c r="BR22" s="297"/>
      <c r="BS22" s="297"/>
      <c r="BT22" s="297"/>
      <c r="BU22" s="297"/>
      <c r="BV22" s="297"/>
    </row>
    <row r="23" spans="2:74" ht="15.5" x14ac:dyDescent="0.35">
      <c r="B23" s="241"/>
      <c r="C23" s="239"/>
      <c r="D23" s="12"/>
      <c r="E23" s="12"/>
      <c r="F23" s="12"/>
      <c r="G23" s="12"/>
      <c r="H23" s="12"/>
      <c r="I23" s="239"/>
      <c r="J23" s="239"/>
      <c r="K23" s="287"/>
      <c r="M23" s="148"/>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49"/>
      <c r="BO23" s="297"/>
      <c r="BP23" s="297"/>
      <c r="BQ23" s="297"/>
      <c r="BR23" s="297"/>
      <c r="BS23" s="297"/>
      <c r="BT23" s="297"/>
      <c r="BU23" s="297"/>
      <c r="BV23" s="297"/>
    </row>
    <row r="24" spans="2:74" ht="15" thickBot="1" x14ac:dyDescent="0.4">
      <c r="B24" s="147"/>
      <c r="C24" s="146"/>
      <c r="D24" s="146"/>
      <c r="E24" s="146"/>
      <c r="F24" s="146"/>
      <c r="G24" s="146"/>
      <c r="H24" s="146"/>
      <c r="I24" s="146"/>
      <c r="J24" s="146" t="s">
        <v>45</v>
      </c>
      <c r="K24" s="144"/>
      <c r="M24" s="148" t="s">
        <v>45</v>
      </c>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49"/>
      <c r="BO24" s="159"/>
      <c r="BP24" s="159"/>
      <c r="BQ24" s="159"/>
      <c r="BR24" s="159"/>
      <c r="BS24" s="159"/>
      <c r="BT24" s="159"/>
      <c r="BU24" s="159"/>
      <c r="BV24" s="159"/>
    </row>
    <row r="25" spans="2:74" x14ac:dyDescent="0.35">
      <c r="M25" s="148"/>
      <c r="N25" s="12"/>
      <c r="O25" s="12"/>
      <c r="P25" s="12"/>
      <c r="Q25" s="12"/>
      <c r="R25" s="12"/>
      <c r="S25" s="12"/>
      <c r="T25" s="12"/>
      <c r="U25" s="12"/>
      <c r="V25" s="12"/>
      <c r="W25" s="12"/>
      <c r="X25" s="12"/>
      <c r="Y25" s="12"/>
      <c r="Z25" s="12"/>
      <c r="AA25" s="12"/>
      <c r="AB25" s="12"/>
      <c r="AC25" s="12"/>
      <c r="AD25" s="12"/>
      <c r="AE25" s="12"/>
      <c r="AF25" s="12"/>
      <c r="AG25" s="12"/>
      <c r="AH25" s="12"/>
      <c r="AI25" s="12"/>
      <c r="AJ25" s="12"/>
      <c r="AK25" s="12"/>
      <c r="AL25" s="12"/>
      <c r="AM25" s="149"/>
    </row>
    <row r="26" spans="2:74" ht="15.5" x14ac:dyDescent="0.35">
      <c r="B26" s="217"/>
      <c r="C26" s="217"/>
      <c r="D26" s="110"/>
      <c r="E26" s="110"/>
      <c r="F26" s="110"/>
      <c r="G26" s="110"/>
      <c r="H26" s="110"/>
      <c r="I26" s="110"/>
      <c r="J26" s="110"/>
      <c r="K26" s="110"/>
      <c r="M26" s="148"/>
      <c r="N26" s="12"/>
      <c r="O26" s="12"/>
      <c r="P26" s="12"/>
      <c r="Q26" s="12"/>
      <c r="R26" s="12"/>
      <c r="S26" s="12"/>
      <c r="T26" s="12"/>
      <c r="U26" s="12"/>
      <c r="V26" s="12"/>
      <c r="W26" s="12"/>
      <c r="X26" s="12"/>
      <c r="Y26" s="12"/>
      <c r="Z26" s="12"/>
      <c r="AA26" s="12"/>
      <c r="AB26" s="12"/>
      <c r="AC26" s="12"/>
      <c r="AD26" s="12"/>
      <c r="AE26" s="12"/>
      <c r="AF26" s="12"/>
      <c r="AG26" s="12"/>
      <c r="AH26" s="12"/>
      <c r="AI26" s="12"/>
      <c r="AJ26" s="12"/>
      <c r="AK26" s="12"/>
      <c r="AL26" s="12"/>
      <c r="AM26" s="149"/>
    </row>
    <row r="27" spans="2:74" ht="15.5" x14ac:dyDescent="0.35">
      <c r="B27" s="282"/>
      <c r="C27" s="12"/>
      <c r="D27" s="110"/>
      <c r="E27" s="110"/>
      <c r="F27" s="110"/>
      <c r="G27" s="110"/>
      <c r="H27" s="110"/>
      <c r="I27" s="110"/>
      <c r="J27" s="110"/>
      <c r="K27" s="110"/>
      <c r="M27" s="148"/>
      <c r="N27" s="12"/>
      <c r="O27" s="12"/>
      <c r="P27" s="12"/>
      <c r="Q27" s="12"/>
      <c r="R27" s="12"/>
      <c r="S27" s="12"/>
      <c r="T27" s="12"/>
      <c r="U27" s="12"/>
      <c r="V27" s="12"/>
      <c r="W27" s="12"/>
      <c r="X27" s="12"/>
      <c r="Y27" s="12"/>
      <c r="Z27" s="12"/>
      <c r="AA27" s="12"/>
      <c r="AB27" s="12"/>
      <c r="AC27" s="12"/>
      <c r="AD27" s="12"/>
      <c r="AE27" s="12"/>
      <c r="AF27" s="12"/>
      <c r="AG27" s="12"/>
      <c r="AH27" s="12"/>
      <c r="AI27" s="12"/>
      <c r="AJ27" s="12"/>
      <c r="AK27" s="12"/>
      <c r="AL27" s="12"/>
      <c r="AM27" s="149"/>
    </row>
    <row r="28" spans="2:74" ht="15.5" x14ac:dyDescent="0.35">
      <c r="B28" s="12"/>
      <c r="C28" s="12"/>
      <c r="D28" s="12"/>
      <c r="E28" s="12"/>
      <c r="F28" s="12"/>
      <c r="G28" s="12"/>
      <c r="H28" s="12"/>
      <c r="I28" s="12"/>
      <c r="J28" s="12"/>
      <c r="K28" s="283"/>
      <c r="M28" s="148"/>
      <c r="N28" s="12"/>
      <c r="O28" s="12"/>
      <c r="P28" s="12"/>
      <c r="Q28" s="12"/>
      <c r="R28" s="12"/>
      <c r="S28" s="12"/>
      <c r="T28" s="12"/>
      <c r="U28" s="12"/>
      <c r="V28" s="12"/>
      <c r="W28" s="12"/>
      <c r="X28" s="12"/>
      <c r="Y28" s="12"/>
      <c r="Z28" s="12"/>
      <c r="AA28" s="12"/>
      <c r="AB28" s="12"/>
      <c r="AC28" s="12"/>
      <c r="AD28" s="12"/>
      <c r="AE28" s="12"/>
      <c r="AF28" s="12"/>
      <c r="AG28" s="12"/>
      <c r="AH28" s="12"/>
      <c r="AI28" s="12"/>
      <c r="AJ28" s="12"/>
      <c r="AK28" s="12"/>
      <c r="AL28" s="12"/>
      <c r="AM28" s="149"/>
    </row>
    <row r="29" spans="2:74" ht="15.5" x14ac:dyDescent="0.35">
      <c r="B29" s="12"/>
      <c r="C29" s="12"/>
      <c r="D29" s="12"/>
      <c r="E29" s="12"/>
      <c r="F29" s="12"/>
      <c r="G29" s="12"/>
      <c r="H29" s="12"/>
      <c r="I29" s="12"/>
      <c r="J29" s="12"/>
      <c r="K29" s="110"/>
      <c r="M29" s="148"/>
      <c r="N29" s="12"/>
      <c r="O29" s="12"/>
      <c r="P29" s="12"/>
      <c r="Q29" s="12"/>
      <c r="R29" s="12"/>
      <c r="S29" s="12"/>
      <c r="T29" s="12"/>
      <c r="U29" s="12"/>
      <c r="V29" s="12"/>
      <c r="W29" s="12"/>
      <c r="X29" s="12"/>
      <c r="Y29" s="12"/>
      <c r="Z29" s="12"/>
      <c r="AA29" s="12"/>
      <c r="AB29" s="12"/>
      <c r="AC29" s="12"/>
      <c r="AD29" s="12"/>
      <c r="AE29" s="12"/>
      <c r="AF29" s="12"/>
      <c r="AG29" s="12"/>
      <c r="AH29" s="12"/>
      <c r="AI29" s="12"/>
      <c r="AJ29" s="12"/>
      <c r="AK29" s="12"/>
      <c r="AL29" s="12"/>
      <c r="AM29" s="149"/>
    </row>
    <row r="30" spans="2:74" ht="15.5" x14ac:dyDescent="0.35">
      <c r="B30" s="12"/>
      <c r="C30" s="12"/>
      <c r="D30" s="12"/>
      <c r="E30" s="12"/>
      <c r="F30" s="12"/>
      <c r="G30" s="12"/>
      <c r="H30" s="12"/>
      <c r="I30" s="12"/>
      <c r="J30" s="12"/>
      <c r="K30" s="110"/>
      <c r="M30" s="148"/>
      <c r="N30" s="12"/>
      <c r="O30" s="12"/>
      <c r="P30" s="12"/>
      <c r="Q30" s="12"/>
      <c r="R30" s="12"/>
      <c r="S30" s="12"/>
      <c r="T30" s="12"/>
      <c r="U30" s="12"/>
      <c r="V30" s="12"/>
      <c r="W30" s="12"/>
      <c r="X30" s="12"/>
      <c r="Y30" s="12"/>
      <c r="Z30" s="12"/>
      <c r="AA30" s="12"/>
      <c r="AB30" s="12"/>
      <c r="AC30" s="12"/>
      <c r="AD30" s="12"/>
      <c r="AE30" s="12"/>
      <c r="AF30" s="12"/>
      <c r="AG30" s="12"/>
      <c r="AH30" s="12"/>
      <c r="AI30" s="12"/>
      <c r="AJ30" s="12"/>
      <c r="AK30" s="12"/>
      <c r="AL30" s="12"/>
      <c r="AM30" s="149"/>
    </row>
    <row r="31" spans="2:74" ht="21" customHeight="1" x14ac:dyDescent="0.35">
      <c r="B31" s="12"/>
      <c r="C31" s="12"/>
      <c r="D31" s="12"/>
      <c r="E31" s="12"/>
      <c r="F31" s="12"/>
      <c r="G31" s="12"/>
      <c r="H31" s="12"/>
      <c r="I31" s="12"/>
      <c r="J31" s="12"/>
      <c r="K31" s="110"/>
      <c r="M31" s="148"/>
      <c r="N31" s="12"/>
      <c r="O31" s="12"/>
      <c r="P31" s="12"/>
      <c r="Q31" s="12"/>
      <c r="R31" s="12"/>
      <c r="S31" s="12"/>
      <c r="T31" s="12"/>
      <c r="U31" s="12"/>
      <c r="V31" s="12"/>
      <c r="W31" s="12"/>
      <c r="X31" s="12"/>
      <c r="Y31" s="12"/>
      <c r="Z31" s="12"/>
      <c r="AA31" s="12"/>
      <c r="AB31" s="12"/>
      <c r="AC31" s="12"/>
      <c r="AD31" s="12"/>
      <c r="AE31" s="12"/>
      <c r="AF31" s="12"/>
      <c r="AG31" s="12"/>
      <c r="AH31" s="12"/>
      <c r="AI31" s="12"/>
      <c r="AJ31" s="12"/>
      <c r="AK31" s="12"/>
      <c r="AL31" s="12"/>
      <c r="AM31" s="149"/>
    </row>
    <row r="32" spans="2:74" ht="21" customHeight="1" x14ac:dyDescent="0.35">
      <c r="B32" s="12"/>
      <c r="C32" s="12"/>
      <c r="D32" s="12"/>
      <c r="E32" s="12"/>
      <c r="F32" s="12"/>
      <c r="G32" s="12"/>
      <c r="H32" s="12"/>
      <c r="I32" s="12"/>
      <c r="J32" s="12"/>
      <c r="K32" s="110"/>
      <c r="M32" s="148"/>
      <c r="N32" s="12"/>
      <c r="O32" s="12"/>
      <c r="P32" s="12"/>
      <c r="Q32" s="12"/>
      <c r="R32" s="12"/>
      <c r="S32" s="12"/>
      <c r="T32" s="12"/>
      <c r="U32" s="12"/>
      <c r="V32" s="12"/>
      <c r="W32" s="12"/>
      <c r="X32" s="12"/>
      <c r="Y32" s="12"/>
      <c r="Z32" s="12"/>
      <c r="AA32" s="12"/>
      <c r="AB32" s="12"/>
      <c r="AC32" s="12"/>
      <c r="AD32" s="12"/>
      <c r="AE32" s="12"/>
      <c r="AF32" s="12"/>
      <c r="AG32" s="12"/>
      <c r="AH32" s="12"/>
      <c r="AI32" s="12"/>
      <c r="AJ32" s="12"/>
      <c r="AK32" s="12"/>
      <c r="AL32" s="12"/>
      <c r="AM32" s="149"/>
    </row>
    <row r="33" spans="1:39" ht="19" customHeight="1" x14ac:dyDescent="0.55000000000000004">
      <c r="B33" s="279" t="s">
        <v>473</v>
      </c>
      <c r="C33" s="280"/>
      <c r="D33" s="280"/>
      <c r="E33" s="280"/>
      <c r="F33" s="280"/>
      <c r="G33" s="280"/>
      <c r="H33" s="280"/>
      <c r="I33" s="280"/>
      <c r="J33" s="280"/>
      <c r="K33" s="281"/>
      <c r="M33" s="148"/>
      <c r="N33" s="12"/>
      <c r="O33" s="12"/>
      <c r="P33" s="12"/>
      <c r="Q33" s="12"/>
      <c r="R33" s="12"/>
      <c r="S33" s="12"/>
      <c r="T33" s="12"/>
      <c r="U33" s="12"/>
      <c r="V33" s="12"/>
      <c r="W33" s="12"/>
      <c r="X33" s="12"/>
      <c r="Y33" s="12"/>
      <c r="Z33" s="12"/>
      <c r="AA33" s="12"/>
      <c r="AB33" s="12"/>
      <c r="AC33" s="12"/>
      <c r="AD33" s="12"/>
      <c r="AE33" s="12"/>
      <c r="AF33" s="12"/>
      <c r="AG33" s="12"/>
      <c r="AH33" s="12"/>
      <c r="AI33" s="12"/>
      <c r="AJ33" s="12"/>
      <c r="AK33" s="12"/>
      <c r="AL33" s="12"/>
      <c r="AM33" s="149"/>
    </row>
    <row r="34" spans="1:39" ht="18" customHeight="1" x14ac:dyDescent="0.35">
      <c r="B34" s="136"/>
      <c r="C34" s="12"/>
      <c r="D34" s="12"/>
      <c r="E34" s="12"/>
      <c r="F34" s="12"/>
      <c r="G34" s="12"/>
      <c r="H34" s="12"/>
      <c r="I34" s="12"/>
      <c r="J34" s="12"/>
      <c r="K34" s="137"/>
      <c r="M34" s="148"/>
      <c r="N34" s="12"/>
      <c r="O34" s="12"/>
      <c r="P34" s="12"/>
      <c r="Q34" s="12"/>
      <c r="R34" s="12"/>
      <c r="S34" s="12"/>
      <c r="T34" s="12"/>
      <c r="U34" s="12"/>
      <c r="V34" s="12"/>
      <c r="W34" s="12"/>
      <c r="X34" s="12"/>
      <c r="Y34" s="12"/>
      <c r="Z34" s="12"/>
      <c r="AA34" s="12"/>
      <c r="AB34" s="12"/>
      <c r="AC34" s="12"/>
      <c r="AD34" s="12"/>
      <c r="AE34" s="12"/>
      <c r="AF34" s="12"/>
      <c r="AG34" s="12"/>
      <c r="AH34" s="12"/>
      <c r="AI34" s="12"/>
      <c r="AJ34" s="12"/>
      <c r="AK34" s="12"/>
      <c r="AL34" s="12"/>
      <c r="AM34" s="149"/>
    </row>
    <row r="35" spans="1:39" ht="15" thickBot="1" x14ac:dyDescent="0.4">
      <c r="B35" s="136"/>
      <c r="C35" s="12"/>
      <c r="D35" s="12"/>
      <c r="E35" s="12"/>
      <c r="F35" s="12"/>
      <c r="G35" s="12"/>
      <c r="H35" s="12"/>
      <c r="I35" s="12"/>
      <c r="J35" s="12"/>
      <c r="K35" s="143"/>
      <c r="M35" s="148"/>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c r="AM35" s="149"/>
    </row>
    <row r="36" spans="1:39" ht="15.5" x14ac:dyDescent="0.35">
      <c r="B36" s="136"/>
      <c r="C36" s="218" t="s">
        <v>346</v>
      </c>
      <c r="D36" s="219" t="s">
        <v>90</v>
      </c>
      <c r="E36" s="145"/>
      <c r="F36" s="219"/>
      <c r="G36" s="219"/>
      <c r="H36" s="219"/>
      <c r="I36" s="219"/>
      <c r="J36" s="220"/>
      <c r="K36" s="143"/>
      <c r="M36" s="148"/>
      <c r="N36" s="12"/>
      <c r="O36" s="12"/>
      <c r="P36" s="12"/>
      <c r="Q36" s="12"/>
      <c r="R36" s="12"/>
      <c r="S36" s="12"/>
      <c r="T36" s="12"/>
      <c r="U36" s="12"/>
      <c r="V36" s="12"/>
      <c r="W36" s="12"/>
      <c r="X36" s="12"/>
      <c r="Y36" s="12"/>
      <c r="Z36" s="12"/>
      <c r="AA36" s="12"/>
      <c r="AB36" s="12"/>
      <c r="AC36" s="12"/>
      <c r="AD36" s="12"/>
      <c r="AE36" s="12"/>
      <c r="AF36" s="12"/>
      <c r="AG36" s="12"/>
      <c r="AH36" s="12"/>
      <c r="AI36" s="12"/>
      <c r="AJ36" s="12"/>
      <c r="AK36" s="12"/>
      <c r="AL36" s="12"/>
      <c r="AM36" s="149"/>
    </row>
    <row r="37" spans="1:39" ht="15.5" x14ac:dyDescent="0.35">
      <c r="B37" s="136"/>
      <c r="C37" s="221" t="s">
        <v>44</v>
      </c>
      <c r="D37" s="210" t="s">
        <v>91</v>
      </c>
      <c r="E37" s="110"/>
      <c r="F37" s="12"/>
      <c r="G37" s="110" t="s">
        <v>0</v>
      </c>
      <c r="H37" s="110"/>
      <c r="I37" s="110"/>
      <c r="J37" s="137"/>
      <c r="K37" s="137"/>
      <c r="M37" s="148"/>
      <c r="N37" s="12"/>
      <c r="O37" s="12"/>
      <c r="P37" s="12"/>
      <c r="Q37" s="12"/>
      <c r="R37" s="12"/>
      <c r="S37" s="12"/>
      <c r="T37" s="12"/>
      <c r="U37" s="12"/>
      <c r="V37" s="12"/>
      <c r="W37" s="12"/>
      <c r="X37" s="12"/>
      <c r="Y37" s="12"/>
      <c r="Z37" s="12"/>
      <c r="AA37" s="12"/>
      <c r="AB37" s="12"/>
      <c r="AC37" s="12"/>
      <c r="AD37" s="12"/>
      <c r="AE37" s="12"/>
      <c r="AF37" s="12"/>
      <c r="AG37" s="12"/>
      <c r="AH37" s="12"/>
      <c r="AI37" s="12"/>
      <c r="AJ37" s="12"/>
      <c r="AK37" s="12"/>
      <c r="AL37" s="12"/>
      <c r="AM37" s="149"/>
    </row>
    <row r="38" spans="1:39" ht="15.5" hidden="1" x14ac:dyDescent="0.35">
      <c r="A38" s="12"/>
      <c r="B38" s="209"/>
      <c r="C38" s="209"/>
      <c r="D38" s="12"/>
      <c r="E38" s="110"/>
      <c r="F38" s="12"/>
      <c r="G38" s="12"/>
      <c r="H38" s="110"/>
      <c r="I38" s="110"/>
      <c r="J38" s="137"/>
      <c r="K38" s="137"/>
      <c r="M38" s="148"/>
      <c r="N38" s="12"/>
      <c r="O38" s="12"/>
      <c r="P38" s="12"/>
      <c r="Q38" s="12"/>
      <c r="R38" s="12"/>
      <c r="S38" s="12"/>
      <c r="T38" s="12"/>
      <c r="U38" s="12"/>
      <c r="V38" s="12"/>
      <c r="W38" s="12"/>
      <c r="X38" s="12"/>
      <c r="Y38" s="12"/>
      <c r="Z38" s="12"/>
      <c r="AA38" s="12"/>
      <c r="AB38" s="12"/>
      <c r="AC38" s="12"/>
      <c r="AD38" s="12"/>
      <c r="AE38" s="12"/>
      <c r="AF38" s="12"/>
      <c r="AG38" s="12"/>
      <c r="AH38" s="12"/>
      <c r="AI38" s="12"/>
      <c r="AJ38" s="12"/>
      <c r="AK38" s="12"/>
      <c r="AL38" s="12"/>
      <c r="AM38" s="149"/>
    </row>
    <row r="39" spans="1:39" ht="23" customHeight="1" x14ac:dyDescent="0.35">
      <c r="A39" s="12"/>
      <c r="B39" s="136"/>
      <c r="C39" s="139" t="s">
        <v>4</v>
      </c>
      <c r="D39" s="228">
        <v>0.31400634820088402</v>
      </c>
      <c r="E39" s="225" t="s">
        <v>364</v>
      </c>
      <c r="F39" s="35"/>
      <c r="G39" s="135" t="s">
        <v>4</v>
      </c>
      <c r="H39" s="135"/>
      <c r="I39" s="135"/>
      <c r="J39" s="223"/>
      <c r="K39" s="143"/>
      <c r="M39" s="148"/>
      <c r="N39" s="12"/>
      <c r="O39" s="12"/>
      <c r="P39" s="12"/>
      <c r="Q39" s="12"/>
      <c r="R39" s="12"/>
      <c r="S39" s="12"/>
      <c r="T39" s="12"/>
      <c r="U39" s="12"/>
      <c r="V39" s="12"/>
      <c r="W39" s="12"/>
      <c r="X39" s="12"/>
      <c r="Y39" s="12"/>
      <c r="Z39" s="12"/>
      <c r="AA39" s="12"/>
      <c r="AB39" s="12"/>
      <c r="AC39" s="12"/>
      <c r="AD39" s="12"/>
      <c r="AE39" s="12"/>
      <c r="AF39" s="12"/>
      <c r="AG39" s="12"/>
      <c r="AH39" s="12"/>
      <c r="AI39" s="12"/>
      <c r="AJ39" s="12"/>
      <c r="AK39" s="12"/>
      <c r="AL39" s="12"/>
      <c r="AM39" s="149"/>
    </row>
    <row r="40" spans="1:39" ht="22.5" customHeight="1" x14ac:dyDescent="0.6">
      <c r="A40" s="12"/>
      <c r="B40" s="136"/>
      <c r="C40" s="139" t="s">
        <v>9</v>
      </c>
      <c r="D40" s="228">
        <v>3.42029798040323E-2</v>
      </c>
      <c r="E40" s="225" t="s">
        <v>364</v>
      </c>
      <c r="F40" s="35"/>
      <c r="G40" s="135" t="s">
        <v>9</v>
      </c>
      <c r="H40" s="135"/>
      <c r="I40" s="135"/>
      <c r="J40" s="223"/>
      <c r="K40" s="163"/>
      <c r="M40" s="469" t="s">
        <v>675</v>
      </c>
      <c r="N40" s="470"/>
      <c r="O40" s="470"/>
      <c r="P40" s="470"/>
      <c r="Q40" s="470"/>
      <c r="R40" s="470"/>
      <c r="S40" s="470"/>
      <c r="T40" s="470"/>
      <c r="U40" s="470"/>
      <c r="V40" s="470"/>
      <c r="W40" s="470"/>
      <c r="X40" s="470"/>
      <c r="Y40" s="470"/>
      <c r="Z40" s="470"/>
      <c r="AA40" s="470"/>
      <c r="AB40" s="470"/>
      <c r="AC40" s="470"/>
      <c r="AD40" s="470"/>
      <c r="AE40" s="470"/>
      <c r="AF40" s="470"/>
      <c r="AG40" s="470"/>
      <c r="AH40" s="470"/>
      <c r="AI40" s="470"/>
      <c r="AJ40" s="470"/>
      <c r="AK40" s="470"/>
      <c r="AL40" s="470"/>
      <c r="AM40" s="471"/>
    </row>
    <row r="41" spans="1:39" ht="24" customHeight="1" thickBot="1" x14ac:dyDescent="0.5">
      <c r="A41" s="12"/>
      <c r="B41" s="136"/>
      <c r="C41" s="147"/>
      <c r="D41" s="146"/>
      <c r="E41" s="146"/>
      <c r="F41" s="146"/>
      <c r="G41" s="224" t="s">
        <v>486</v>
      </c>
      <c r="H41" s="141"/>
      <c r="I41" s="141"/>
      <c r="J41" s="222"/>
      <c r="K41" s="163"/>
      <c r="M41" s="148"/>
      <c r="N41" s="12"/>
      <c r="O41" s="12"/>
      <c r="P41" s="12"/>
      <c r="Q41" s="12"/>
      <c r="R41" s="12"/>
      <c r="S41" s="12"/>
      <c r="T41" s="12"/>
      <c r="U41" s="12"/>
      <c r="V41" s="12"/>
      <c r="W41" s="12"/>
      <c r="X41" s="12"/>
      <c r="Y41" s="12"/>
      <c r="Z41" s="12"/>
      <c r="AA41" s="12"/>
      <c r="AB41" s="12"/>
      <c r="AC41" s="12"/>
      <c r="AD41" s="12"/>
      <c r="AE41" s="12"/>
      <c r="AF41" s="12"/>
      <c r="AG41" s="12"/>
      <c r="AH41" s="12"/>
      <c r="AI41" s="12"/>
      <c r="AJ41" s="12"/>
      <c r="AK41" s="12"/>
      <c r="AL41" s="12"/>
      <c r="AM41" s="149"/>
    </row>
    <row r="42" spans="1:39" ht="16" thickBot="1" x14ac:dyDescent="0.4">
      <c r="A42" s="12"/>
      <c r="B42" s="138"/>
      <c r="C42" s="110"/>
      <c r="D42" s="110"/>
      <c r="E42" s="110"/>
      <c r="F42" s="12"/>
      <c r="G42" s="12"/>
      <c r="H42" s="110"/>
      <c r="I42" s="110"/>
      <c r="J42" s="110"/>
      <c r="K42" s="163"/>
      <c r="M42" s="148"/>
      <c r="N42" s="110" t="s">
        <v>201</v>
      </c>
      <c r="O42" s="12"/>
      <c r="P42" s="12"/>
      <c r="Q42" s="12"/>
      <c r="R42" s="12"/>
      <c r="S42" s="12"/>
      <c r="T42" s="12"/>
      <c r="U42" s="12"/>
      <c r="V42" s="12"/>
      <c r="W42" s="12"/>
      <c r="X42" s="12"/>
      <c r="Y42" s="12"/>
      <c r="Z42" s="12"/>
      <c r="AA42" s="12"/>
      <c r="AB42" s="12"/>
      <c r="AC42" s="12"/>
      <c r="AD42" s="12"/>
      <c r="AE42" s="12"/>
      <c r="AF42" s="12"/>
      <c r="AG42" s="12"/>
      <c r="AH42" s="12"/>
      <c r="AI42" s="12"/>
      <c r="AJ42" s="12"/>
      <c r="AK42" s="12"/>
      <c r="AL42" s="12"/>
      <c r="AM42" s="149"/>
    </row>
    <row r="43" spans="1:39" ht="15.5" x14ac:dyDescent="0.35">
      <c r="A43" s="12"/>
      <c r="B43" s="136"/>
      <c r="C43" s="218" t="s">
        <v>346</v>
      </c>
      <c r="D43" s="227" t="s">
        <v>88</v>
      </c>
      <c r="E43" s="145"/>
      <c r="F43" s="145"/>
      <c r="G43" s="145"/>
      <c r="H43" s="145"/>
      <c r="I43" s="145"/>
      <c r="J43" s="142"/>
      <c r="K43" s="137"/>
      <c r="M43" s="150"/>
      <c r="N43" s="12"/>
      <c r="O43" s="12"/>
      <c r="P43" s="12"/>
      <c r="Q43" s="12"/>
      <c r="R43" s="12"/>
      <c r="S43" s="12"/>
      <c r="T43" s="12"/>
      <c r="U43" s="12"/>
      <c r="V43" s="12"/>
      <c r="W43" s="12"/>
      <c r="X43" s="12"/>
      <c r="Y43" s="12"/>
      <c r="Z43" s="12"/>
      <c r="AA43" s="12"/>
      <c r="AB43" s="12"/>
      <c r="AC43" s="12"/>
      <c r="AD43" s="12"/>
      <c r="AE43" s="12"/>
      <c r="AF43" s="12"/>
      <c r="AG43" s="12"/>
      <c r="AH43" s="12"/>
      <c r="AI43" s="12"/>
      <c r="AJ43" s="12"/>
      <c r="AK43" s="12"/>
      <c r="AL43" s="12"/>
      <c r="AM43" s="149"/>
    </row>
    <row r="44" spans="1:39" ht="15.5" x14ac:dyDescent="0.35">
      <c r="A44" s="12"/>
      <c r="B44" s="136"/>
      <c r="C44" s="221" t="s">
        <v>44</v>
      </c>
      <c r="D44" s="210" t="s">
        <v>89</v>
      </c>
      <c r="E44" s="110"/>
      <c r="F44" s="110"/>
      <c r="G44" s="110"/>
      <c r="H44" s="110"/>
      <c r="I44" s="110"/>
      <c r="J44" s="137"/>
      <c r="K44" s="137"/>
      <c r="M44" s="148"/>
      <c r="N44" s="12"/>
      <c r="O44" s="12"/>
      <c r="P44" s="12"/>
      <c r="Q44" s="12"/>
      <c r="R44" s="12"/>
      <c r="S44" s="12"/>
      <c r="T44" s="12"/>
      <c r="U44" s="12"/>
      <c r="V44" s="12"/>
      <c r="W44" s="12"/>
      <c r="X44" s="12"/>
      <c r="Y44" s="12"/>
      <c r="Z44" s="12"/>
      <c r="AA44" s="12"/>
      <c r="AB44" s="12"/>
      <c r="AC44" s="12"/>
      <c r="AD44" s="12"/>
      <c r="AE44" s="12"/>
      <c r="AF44" s="12"/>
      <c r="AG44" s="12"/>
      <c r="AH44" s="12"/>
      <c r="AI44" s="12"/>
      <c r="AJ44" s="12"/>
      <c r="AK44" s="12"/>
      <c r="AL44" s="12"/>
      <c r="AM44" s="149"/>
    </row>
    <row r="45" spans="1:39" ht="15.5" x14ac:dyDescent="0.35">
      <c r="A45" s="12"/>
      <c r="B45" s="136"/>
      <c r="C45" s="136"/>
      <c r="D45" s="12"/>
      <c r="E45" s="12"/>
      <c r="F45" s="12"/>
      <c r="G45" s="110"/>
      <c r="H45" s="12"/>
      <c r="I45" s="12"/>
      <c r="J45" s="143"/>
      <c r="K45" s="143"/>
      <c r="M45" s="148"/>
      <c r="N45" s="12"/>
      <c r="O45" s="12"/>
      <c r="P45" s="12"/>
      <c r="Q45" s="12"/>
      <c r="R45" s="12"/>
      <c r="S45" s="12"/>
      <c r="T45" s="12"/>
      <c r="U45" s="12"/>
      <c r="V45" s="12"/>
      <c r="W45" s="12"/>
      <c r="X45" s="12"/>
      <c r="Y45" s="12"/>
      <c r="Z45" s="12"/>
      <c r="AA45" s="12"/>
      <c r="AB45" s="12"/>
      <c r="AC45" s="12"/>
      <c r="AD45" s="12"/>
      <c r="AE45" s="12"/>
      <c r="AF45" s="12"/>
      <c r="AG45" s="12"/>
      <c r="AH45" s="12"/>
      <c r="AI45" s="12"/>
      <c r="AJ45" s="12"/>
      <c r="AK45" s="12"/>
      <c r="AL45" s="12"/>
      <c r="AM45" s="149"/>
    </row>
    <row r="46" spans="1:39" ht="23" customHeight="1" x14ac:dyDescent="0.35">
      <c r="A46" s="12"/>
      <c r="B46" s="209"/>
      <c r="C46" s="139" t="s">
        <v>4</v>
      </c>
      <c r="D46" s="228">
        <v>5.8783893298542403E-2</v>
      </c>
      <c r="E46" s="225" t="s">
        <v>367</v>
      </c>
      <c r="F46" s="35"/>
      <c r="G46" s="135" t="s">
        <v>4</v>
      </c>
      <c r="H46" s="225"/>
      <c r="I46" s="225"/>
      <c r="J46" s="226"/>
      <c r="K46" s="143"/>
      <c r="M46" s="148"/>
      <c r="N46" s="12"/>
      <c r="O46" s="12"/>
      <c r="P46" s="12"/>
      <c r="Q46" s="12"/>
      <c r="R46" s="12"/>
      <c r="S46" s="12"/>
      <c r="T46" s="12"/>
      <c r="U46" s="12"/>
      <c r="V46" s="12"/>
      <c r="W46" s="12"/>
      <c r="X46" s="12"/>
      <c r="Y46" s="12"/>
      <c r="Z46" s="12"/>
      <c r="AA46" s="12"/>
      <c r="AB46" s="12"/>
      <c r="AC46" s="12"/>
      <c r="AD46" s="12"/>
      <c r="AE46" s="12"/>
      <c r="AF46" s="12"/>
      <c r="AG46" s="12"/>
      <c r="AH46" s="12"/>
      <c r="AI46" s="12"/>
      <c r="AJ46" s="12"/>
      <c r="AK46" s="12"/>
      <c r="AL46" s="12"/>
      <c r="AM46" s="149"/>
    </row>
    <row r="47" spans="1:39" ht="24" customHeight="1" thickBot="1" x14ac:dyDescent="0.5">
      <c r="A47" s="12"/>
      <c r="B47" s="136"/>
      <c r="C47" s="140"/>
      <c r="D47" s="141"/>
      <c r="E47" s="141"/>
      <c r="F47" s="146"/>
      <c r="G47" s="224" t="s">
        <v>486</v>
      </c>
      <c r="H47" s="141"/>
      <c r="I47" s="141"/>
      <c r="J47" s="222"/>
      <c r="K47" s="143"/>
      <c r="M47" s="148"/>
      <c r="N47" s="12"/>
      <c r="O47" s="12"/>
      <c r="P47" s="12"/>
      <c r="Q47" s="12"/>
      <c r="R47" s="12"/>
      <c r="S47" s="12"/>
      <c r="T47" s="12"/>
      <c r="U47" s="12"/>
      <c r="V47" s="12"/>
      <c r="W47" s="12"/>
      <c r="X47" s="12"/>
      <c r="Y47" s="12"/>
      <c r="Z47" s="12"/>
      <c r="AA47" s="12"/>
      <c r="AB47" s="12"/>
      <c r="AC47" s="12"/>
      <c r="AD47" s="12"/>
      <c r="AE47" s="12"/>
      <c r="AF47" s="12"/>
      <c r="AG47" s="12"/>
      <c r="AH47" s="12"/>
      <c r="AI47" s="12"/>
      <c r="AJ47" s="12"/>
      <c r="AK47" s="12"/>
      <c r="AL47" s="12"/>
      <c r="AM47" s="149"/>
    </row>
    <row r="48" spans="1:39" ht="15" customHeight="1" thickBot="1" x14ac:dyDescent="0.4">
      <c r="B48" s="136"/>
      <c r="C48" s="12"/>
      <c r="D48" s="12"/>
      <c r="E48" s="12"/>
      <c r="F48" s="12"/>
      <c r="G48" s="12"/>
      <c r="H48" s="12"/>
      <c r="I48" s="12"/>
      <c r="J48" s="12"/>
      <c r="K48" s="143"/>
      <c r="M48" s="148"/>
      <c r="N48" s="12"/>
      <c r="O48" s="12"/>
      <c r="P48" s="12"/>
      <c r="Q48" s="12"/>
      <c r="R48" s="12"/>
      <c r="S48" s="12"/>
      <c r="T48" s="12"/>
      <c r="U48" s="12"/>
      <c r="V48" s="12"/>
      <c r="W48" s="12"/>
      <c r="X48" s="12"/>
      <c r="Y48" s="12"/>
      <c r="Z48" s="12"/>
      <c r="AA48" s="12"/>
      <c r="AB48" s="12"/>
      <c r="AC48" s="12"/>
      <c r="AD48" s="12"/>
      <c r="AE48" s="12"/>
      <c r="AF48" s="12"/>
      <c r="AG48" s="12"/>
      <c r="AH48" s="12"/>
      <c r="AI48" s="12"/>
      <c r="AJ48" s="12"/>
      <c r="AK48" s="12"/>
      <c r="AL48" s="12"/>
      <c r="AM48" s="149"/>
    </row>
    <row r="49" spans="2:77" ht="16" customHeight="1" x14ac:dyDescent="0.35">
      <c r="B49" s="138"/>
      <c r="C49" s="218" t="s">
        <v>346</v>
      </c>
      <c r="D49" s="227" t="s">
        <v>280</v>
      </c>
      <c r="E49" s="145"/>
      <c r="F49" s="145"/>
      <c r="G49" s="145"/>
      <c r="H49" s="145"/>
      <c r="I49" s="145"/>
      <c r="J49" s="142"/>
      <c r="K49" s="143"/>
      <c r="M49" s="148"/>
      <c r="N49" s="12"/>
      <c r="O49" s="12"/>
      <c r="P49" s="12"/>
      <c r="Q49" s="12"/>
      <c r="R49" s="12"/>
      <c r="S49" s="12"/>
      <c r="T49" s="12"/>
      <c r="U49" s="12"/>
      <c r="V49" s="12"/>
      <c r="W49" s="12"/>
      <c r="X49" s="12"/>
      <c r="Y49" s="12"/>
      <c r="Z49" s="12"/>
      <c r="AA49" s="12"/>
      <c r="AB49" s="12"/>
      <c r="AC49" s="12"/>
      <c r="AD49" s="12"/>
      <c r="AE49" s="12"/>
      <c r="AF49" s="12"/>
      <c r="AG49" s="12"/>
      <c r="AH49" s="12"/>
      <c r="AI49" s="12"/>
      <c r="AJ49" s="12"/>
      <c r="AK49" s="12"/>
      <c r="AL49" s="12"/>
      <c r="AM49" s="149"/>
    </row>
    <row r="50" spans="2:77" ht="15.5" x14ac:dyDescent="0.35">
      <c r="B50" s="136"/>
      <c r="C50" s="221" t="s">
        <v>44</v>
      </c>
      <c r="D50" s="210" t="s">
        <v>281</v>
      </c>
      <c r="E50" s="12"/>
      <c r="F50" s="12"/>
      <c r="G50" s="12"/>
      <c r="H50" s="12"/>
      <c r="I50" s="12"/>
      <c r="J50" s="143"/>
      <c r="K50" s="143"/>
      <c r="M50" s="148"/>
      <c r="N50" s="12"/>
      <c r="O50" s="12"/>
      <c r="P50" s="12"/>
      <c r="Q50" s="12"/>
      <c r="R50" s="12"/>
      <c r="S50" s="12"/>
      <c r="T50" s="12"/>
      <c r="U50" s="12"/>
      <c r="V50" s="12"/>
      <c r="W50" s="12"/>
      <c r="X50" s="12"/>
      <c r="Y50" s="12"/>
      <c r="Z50" s="12"/>
      <c r="AA50" s="12"/>
      <c r="AB50" s="12"/>
      <c r="AC50" s="12"/>
      <c r="AD50" s="12"/>
      <c r="AE50" s="12"/>
      <c r="AF50" s="12"/>
      <c r="AG50" s="12"/>
      <c r="AH50" s="12"/>
      <c r="AI50" s="12"/>
      <c r="AJ50" s="12"/>
      <c r="AK50" s="12"/>
      <c r="AL50" s="12"/>
      <c r="AM50" s="149"/>
    </row>
    <row r="51" spans="2:77" x14ac:dyDescent="0.35">
      <c r="B51" s="136"/>
      <c r="C51" s="136"/>
      <c r="D51" s="12"/>
      <c r="E51" s="12"/>
      <c r="F51" s="12"/>
      <c r="G51" s="12"/>
      <c r="H51" s="12"/>
      <c r="I51" s="12"/>
      <c r="J51" s="143"/>
      <c r="K51" s="143"/>
      <c r="M51" s="148"/>
      <c r="N51" s="12"/>
      <c r="O51" s="12"/>
      <c r="P51" s="12"/>
      <c r="Q51" s="12"/>
      <c r="R51" s="12"/>
      <c r="S51" s="12"/>
      <c r="T51" s="12"/>
      <c r="U51" s="12"/>
      <c r="V51" s="12"/>
      <c r="W51" s="12"/>
      <c r="X51" s="12"/>
      <c r="Y51" s="12"/>
      <c r="Z51" s="12"/>
      <c r="AA51" s="12"/>
      <c r="AB51" s="12"/>
      <c r="AC51" s="12"/>
      <c r="AD51" s="12"/>
      <c r="AE51" s="12"/>
      <c r="AF51" s="12"/>
      <c r="AG51" s="12"/>
      <c r="AH51" s="12"/>
      <c r="AI51" s="12"/>
      <c r="AJ51" s="12"/>
      <c r="AK51" s="12"/>
      <c r="AL51" s="12"/>
      <c r="AM51" s="149"/>
    </row>
    <row r="52" spans="2:77" ht="23.5" customHeight="1" x14ac:dyDescent="0.35">
      <c r="B52" s="136"/>
      <c r="C52" s="139" t="s">
        <v>4</v>
      </c>
      <c r="D52" s="228">
        <v>0.49778943333325498</v>
      </c>
      <c r="E52" s="225" t="s">
        <v>368</v>
      </c>
      <c r="F52" s="135"/>
      <c r="G52" s="135" t="s">
        <v>4</v>
      </c>
      <c r="H52" s="135"/>
      <c r="I52" s="135"/>
      <c r="J52" s="223"/>
      <c r="K52" s="143"/>
      <c r="M52" s="148"/>
      <c r="N52" s="12"/>
      <c r="O52" s="12"/>
      <c r="P52" s="12"/>
      <c r="Q52" s="12"/>
      <c r="R52" s="12"/>
      <c r="S52" s="12"/>
      <c r="T52" s="12"/>
      <c r="U52" s="12"/>
      <c r="V52" s="12"/>
      <c r="W52" s="12"/>
      <c r="X52" s="12"/>
      <c r="Y52" s="12"/>
      <c r="Z52" s="12"/>
      <c r="AA52" s="12"/>
      <c r="AB52" s="12"/>
      <c r="AC52" s="12"/>
      <c r="AD52" s="12"/>
      <c r="AE52" s="12"/>
      <c r="AF52" s="12"/>
      <c r="AG52" s="12"/>
      <c r="AH52" s="12"/>
      <c r="AI52" s="12"/>
      <c r="AJ52" s="12"/>
      <c r="AK52" s="12"/>
      <c r="AL52" s="12"/>
      <c r="AM52" s="149"/>
    </row>
    <row r="53" spans="2:77" ht="24" customHeight="1" thickBot="1" x14ac:dyDescent="0.5">
      <c r="B53" s="136"/>
      <c r="C53" s="147"/>
      <c r="D53" s="146"/>
      <c r="E53" s="141"/>
      <c r="F53" s="146"/>
      <c r="G53" s="224" t="s">
        <v>486</v>
      </c>
      <c r="H53" s="141"/>
      <c r="I53" s="141"/>
      <c r="J53" s="222"/>
      <c r="K53" s="143"/>
      <c r="M53" s="148"/>
      <c r="N53" s="12"/>
      <c r="O53" s="12"/>
      <c r="P53" s="12"/>
      <c r="Q53" s="12"/>
      <c r="R53" s="12"/>
      <c r="S53" s="12"/>
      <c r="T53" s="12"/>
      <c r="U53" s="12"/>
      <c r="V53" s="12"/>
      <c r="W53" s="12"/>
      <c r="X53" s="12"/>
      <c r="Y53" s="12"/>
      <c r="Z53" s="12"/>
      <c r="AA53" s="12"/>
      <c r="AB53" s="12"/>
      <c r="AC53" s="12"/>
      <c r="AD53" s="12"/>
      <c r="AE53" s="12"/>
      <c r="AF53" s="12"/>
      <c r="AG53" s="12"/>
      <c r="AH53" s="12"/>
      <c r="AI53" s="12"/>
      <c r="AJ53" s="12"/>
      <c r="AK53" s="12"/>
      <c r="AL53" s="12"/>
      <c r="AM53" s="149"/>
      <c r="BY53" s="108"/>
    </row>
    <row r="54" spans="2:77" ht="16" thickBot="1" x14ac:dyDescent="0.4">
      <c r="B54" s="140"/>
      <c r="C54" s="141"/>
      <c r="D54" s="141"/>
      <c r="E54" s="141"/>
      <c r="F54" s="146"/>
      <c r="G54" s="146"/>
      <c r="H54" s="146"/>
      <c r="I54" s="146"/>
      <c r="J54" s="146"/>
      <c r="K54" s="144"/>
      <c r="M54" s="148"/>
      <c r="N54" s="12"/>
      <c r="O54" s="12"/>
      <c r="P54" s="12"/>
      <c r="Q54" s="12"/>
      <c r="R54" s="12"/>
      <c r="S54" s="12"/>
      <c r="T54" s="12"/>
      <c r="U54" s="12"/>
      <c r="V54" s="12"/>
      <c r="W54" s="12"/>
      <c r="X54" s="12"/>
      <c r="Y54" s="12"/>
      <c r="Z54" s="12"/>
      <c r="AA54" s="12"/>
      <c r="AB54" s="12"/>
      <c r="AC54" s="12"/>
      <c r="AD54" s="12"/>
      <c r="AE54" s="12"/>
      <c r="AF54" s="12"/>
      <c r="AG54" s="12"/>
      <c r="AH54" s="12"/>
      <c r="AI54" s="12"/>
      <c r="AJ54" s="12"/>
      <c r="AK54" s="12"/>
      <c r="AL54" s="12"/>
      <c r="AM54" s="149"/>
    </row>
    <row r="55" spans="2:77" ht="15.5" hidden="1" x14ac:dyDescent="0.35">
      <c r="B55" s="12"/>
      <c r="C55" s="58"/>
      <c r="D55" s="58"/>
      <c r="E55" s="111"/>
      <c r="F55" s="111"/>
      <c r="G55" s="111"/>
      <c r="H55" s="111"/>
      <c r="I55" s="12"/>
      <c r="J55" s="12"/>
      <c r="K55" s="12"/>
      <c r="M55" s="148"/>
      <c r="N55" s="12"/>
      <c r="O55" s="12"/>
      <c r="P55" s="12"/>
      <c r="Q55" s="12"/>
      <c r="R55" s="12"/>
      <c r="S55" s="12"/>
      <c r="T55" s="12"/>
      <c r="U55" s="12"/>
      <c r="V55" s="12"/>
      <c r="W55" s="12"/>
      <c r="X55" s="12"/>
      <c r="Y55" s="12"/>
      <c r="Z55" s="12"/>
      <c r="AA55" s="12"/>
      <c r="AB55" s="12"/>
      <c r="AC55" s="12"/>
      <c r="AD55" s="12"/>
      <c r="AE55" s="12"/>
      <c r="AF55" s="12"/>
      <c r="AG55" s="12"/>
      <c r="AH55" s="12"/>
      <c r="AI55" s="12"/>
      <c r="AJ55" s="12"/>
      <c r="AK55" s="12"/>
      <c r="AL55" s="12"/>
      <c r="AM55" s="149"/>
    </row>
    <row r="56" spans="2:77" hidden="1" x14ac:dyDescent="0.35">
      <c r="B56" s="12"/>
      <c r="C56" s="12"/>
      <c r="D56" s="12"/>
      <c r="E56" s="12"/>
      <c r="F56" s="12"/>
      <c r="G56" s="12"/>
      <c r="H56" s="12"/>
      <c r="I56" s="12"/>
      <c r="J56" s="12"/>
      <c r="K56" s="12"/>
      <c r="M56" s="148"/>
      <c r="N56" s="12"/>
      <c r="O56" s="12"/>
      <c r="P56" s="12"/>
      <c r="Q56" s="12"/>
      <c r="R56" s="12"/>
      <c r="S56" s="12"/>
      <c r="T56" s="12"/>
      <c r="U56" s="12"/>
      <c r="V56" s="12"/>
      <c r="W56" s="12"/>
      <c r="X56" s="12"/>
      <c r="Y56" s="12"/>
      <c r="Z56" s="12"/>
      <c r="AA56" s="12"/>
      <c r="AB56" s="12"/>
      <c r="AC56" s="12"/>
      <c r="AD56" s="12"/>
      <c r="AE56" s="12"/>
      <c r="AF56" s="12"/>
      <c r="AG56" s="12"/>
      <c r="AH56" s="12"/>
      <c r="AI56" s="12"/>
      <c r="AJ56" s="12"/>
      <c r="AK56" s="12"/>
      <c r="AL56" s="12"/>
      <c r="AM56" s="149"/>
    </row>
    <row r="57" spans="2:77" ht="15" thickBot="1" x14ac:dyDescent="0.4">
      <c r="B57" s="12"/>
      <c r="C57" s="12"/>
      <c r="D57" s="12"/>
      <c r="E57" s="12"/>
      <c r="F57" s="12"/>
      <c r="G57" s="12"/>
      <c r="H57" s="12"/>
      <c r="I57" s="12"/>
      <c r="J57" s="12"/>
      <c r="K57" s="12"/>
      <c r="M57" s="148"/>
      <c r="N57" s="12"/>
      <c r="O57" s="12"/>
      <c r="P57" s="12"/>
      <c r="Q57" s="12"/>
      <c r="R57" s="12"/>
      <c r="S57" s="12"/>
      <c r="T57" s="12"/>
      <c r="U57" s="12"/>
      <c r="V57" s="12"/>
      <c r="W57" s="12"/>
      <c r="X57" s="12"/>
      <c r="Y57" s="12"/>
      <c r="Z57" s="12"/>
      <c r="AA57" s="12"/>
      <c r="AB57" s="12"/>
      <c r="AC57" s="12"/>
      <c r="AD57" s="12"/>
      <c r="AE57" s="12"/>
      <c r="AF57" s="12"/>
      <c r="AG57" s="12"/>
      <c r="AH57" s="12"/>
      <c r="AI57" s="12"/>
      <c r="AJ57" s="12"/>
      <c r="AK57" s="12"/>
      <c r="AL57" s="12"/>
      <c r="AM57" s="149"/>
    </row>
    <row r="58" spans="2:77" ht="20.5" x14ac:dyDescent="0.55000000000000004">
      <c r="B58" s="156" t="s">
        <v>474</v>
      </c>
      <c r="C58" s="235"/>
      <c r="D58" s="235"/>
      <c r="E58" s="235"/>
      <c r="F58" s="235"/>
      <c r="G58" s="235"/>
      <c r="H58" s="235"/>
      <c r="I58" s="235"/>
      <c r="J58" s="235"/>
      <c r="K58" s="236"/>
      <c r="M58" s="148"/>
      <c r="N58" s="12"/>
      <c r="O58" s="12"/>
      <c r="P58" s="12"/>
      <c r="Q58" s="12"/>
      <c r="R58" s="12"/>
      <c r="S58" s="12"/>
      <c r="T58" s="12"/>
      <c r="U58" s="12"/>
      <c r="V58" s="12"/>
      <c r="W58" s="12"/>
      <c r="X58" s="12"/>
      <c r="Y58" s="12"/>
      <c r="Z58" s="12"/>
      <c r="AA58" s="12"/>
      <c r="AB58" s="12"/>
      <c r="AC58" s="12"/>
      <c r="AD58" s="12"/>
      <c r="AE58" s="12"/>
      <c r="AF58" s="12"/>
      <c r="AG58" s="12"/>
      <c r="AH58" s="12"/>
      <c r="AI58" s="12"/>
      <c r="AJ58" s="12"/>
      <c r="AK58" s="12"/>
      <c r="AL58" s="12"/>
      <c r="AM58" s="149"/>
    </row>
    <row r="59" spans="2:77" x14ac:dyDescent="0.35">
      <c r="B59" s="136"/>
      <c r="C59" s="12"/>
      <c r="D59" s="12"/>
      <c r="E59" s="12"/>
      <c r="F59" s="12"/>
      <c r="G59" s="12"/>
      <c r="H59" s="12"/>
      <c r="I59" s="12"/>
      <c r="J59" s="12"/>
      <c r="K59" s="143"/>
      <c r="M59" s="148"/>
      <c r="N59" s="12"/>
      <c r="O59" s="12"/>
      <c r="P59" s="12"/>
      <c r="Q59" s="12"/>
      <c r="R59" s="12"/>
      <c r="S59" s="12"/>
      <c r="T59" s="12"/>
      <c r="U59" s="12"/>
      <c r="V59" s="12"/>
      <c r="W59" s="12"/>
      <c r="X59" s="12"/>
      <c r="Y59" s="12"/>
      <c r="Z59" s="12"/>
      <c r="AA59" s="12"/>
      <c r="AB59" s="12"/>
      <c r="AC59" s="12"/>
      <c r="AD59" s="12"/>
      <c r="AE59" s="12"/>
      <c r="AF59" s="12"/>
      <c r="AG59" s="12"/>
      <c r="AH59" s="12"/>
      <c r="AI59" s="12"/>
      <c r="AJ59" s="12"/>
      <c r="AK59" s="12"/>
      <c r="AL59" s="12"/>
      <c r="AM59" s="149"/>
    </row>
    <row r="60" spans="2:77" ht="21" customHeight="1" thickBot="1" x14ac:dyDescent="0.4">
      <c r="B60" s="136"/>
      <c r="C60" s="12"/>
      <c r="D60" s="12"/>
      <c r="E60" s="12"/>
      <c r="F60" s="12"/>
      <c r="G60" s="12"/>
      <c r="H60" s="12"/>
      <c r="I60" s="12"/>
      <c r="J60" s="12"/>
      <c r="K60" s="143"/>
      <c r="M60" s="148"/>
      <c r="N60" s="12"/>
      <c r="O60" s="12"/>
      <c r="P60" s="12"/>
      <c r="Q60" s="12"/>
      <c r="R60" s="12"/>
      <c r="S60" s="12"/>
      <c r="T60" s="12"/>
      <c r="U60" s="12"/>
      <c r="V60" s="12"/>
      <c r="W60" s="12"/>
      <c r="X60" s="12"/>
      <c r="Y60" s="12"/>
      <c r="Z60" s="12"/>
      <c r="AA60" s="12"/>
      <c r="AB60" s="12"/>
      <c r="AC60" s="12"/>
      <c r="AD60" s="12"/>
      <c r="AE60" s="12"/>
      <c r="AF60" s="12"/>
      <c r="AG60" s="12"/>
      <c r="AH60" s="12"/>
      <c r="AI60" s="12"/>
      <c r="AJ60" s="12"/>
      <c r="AK60" s="12"/>
      <c r="AL60" s="12"/>
      <c r="AM60" s="149"/>
    </row>
    <row r="61" spans="2:77" ht="15.5" x14ac:dyDescent="0.35">
      <c r="B61" s="136"/>
      <c r="C61" s="218" t="s">
        <v>346</v>
      </c>
      <c r="D61" s="219" t="s">
        <v>377</v>
      </c>
      <c r="E61" s="145"/>
      <c r="F61" s="219"/>
      <c r="G61" s="219"/>
      <c r="H61" s="219"/>
      <c r="I61" s="219"/>
      <c r="J61" s="220"/>
      <c r="K61" s="143"/>
      <c r="M61" s="148"/>
      <c r="N61" s="12"/>
      <c r="O61" s="12"/>
      <c r="P61" s="12"/>
      <c r="Q61" s="12"/>
      <c r="R61" s="12"/>
      <c r="S61" s="12"/>
      <c r="T61" s="12"/>
      <c r="U61" s="12"/>
      <c r="V61" s="12"/>
      <c r="W61" s="12"/>
      <c r="X61" s="12"/>
      <c r="Y61" s="12"/>
      <c r="Z61" s="12"/>
      <c r="AA61" s="12"/>
      <c r="AB61" s="12"/>
      <c r="AC61" s="12"/>
      <c r="AD61" s="12"/>
      <c r="AE61" s="12"/>
      <c r="AF61" s="12"/>
      <c r="AG61" s="12"/>
      <c r="AH61" s="12"/>
      <c r="AI61" s="12"/>
      <c r="AJ61" s="12"/>
      <c r="AK61" s="12"/>
      <c r="AL61" s="12"/>
      <c r="AM61" s="149"/>
    </row>
    <row r="62" spans="2:77" ht="15.5" x14ac:dyDescent="0.35">
      <c r="B62" s="136"/>
      <c r="C62" s="221" t="s">
        <v>44</v>
      </c>
      <c r="D62" s="210" t="s">
        <v>55</v>
      </c>
      <c r="E62" s="110"/>
      <c r="F62" s="12"/>
      <c r="G62" s="110" t="s">
        <v>0</v>
      </c>
      <c r="H62" s="110"/>
      <c r="I62" s="110"/>
      <c r="J62" s="137"/>
      <c r="K62" s="143"/>
      <c r="M62" s="148"/>
      <c r="N62" s="12"/>
      <c r="O62" s="12"/>
      <c r="P62" s="12"/>
      <c r="Q62" s="12"/>
      <c r="R62" s="12"/>
      <c r="S62" s="12"/>
      <c r="T62" s="12"/>
      <c r="U62" s="12"/>
      <c r="V62" s="12"/>
      <c r="W62" s="12"/>
      <c r="X62" s="12"/>
      <c r="Y62" s="12"/>
      <c r="Z62" s="12"/>
      <c r="AA62" s="12"/>
      <c r="AB62" s="12"/>
      <c r="AC62" s="12"/>
      <c r="AD62" s="12"/>
      <c r="AE62" s="12"/>
      <c r="AF62" s="12"/>
      <c r="AG62" s="12"/>
      <c r="AH62" s="12"/>
      <c r="AI62" s="12"/>
      <c r="AJ62" s="12"/>
      <c r="AK62" s="12"/>
      <c r="AL62" s="12"/>
      <c r="AM62" s="149"/>
    </row>
    <row r="63" spans="2:77" ht="15.5" hidden="1" x14ac:dyDescent="0.35">
      <c r="B63" s="136"/>
      <c r="C63" s="209"/>
      <c r="D63" s="12"/>
      <c r="E63" s="110"/>
      <c r="F63" s="12"/>
      <c r="H63" s="110"/>
      <c r="I63" s="110"/>
      <c r="J63" s="137"/>
      <c r="K63" s="143"/>
      <c r="M63" s="148"/>
      <c r="N63" s="12"/>
      <c r="O63" s="12"/>
      <c r="P63" s="12"/>
      <c r="Q63" s="12"/>
      <c r="R63" s="12"/>
      <c r="S63" s="12"/>
      <c r="T63" s="12"/>
      <c r="U63" s="12"/>
      <c r="V63" s="12"/>
      <c r="W63" s="12"/>
      <c r="X63" s="12"/>
      <c r="Y63" s="12"/>
      <c r="Z63" s="12"/>
      <c r="AA63" s="12"/>
      <c r="AB63" s="12"/>
      <c r="AC63" s="12"/>
      <c r="AD63" s="12"/>
      <c r="AE63" s="12"/>
      <c r="AF63" s="12"/>
      <c r="AG63" s="12"/>
      <c r="AH63" s="12"/>
      <c r="AI63" s="12"/>
      <c r="AJ63" s="12"/>
      <c r="AK63" s="12"/>
      <c r="AL63" s="12"/>
      <c r="AM63" s="149"/>
    </row>
    <row r="64" spans="2:77" ht="23.4" customHeight="1" x14ac:dyDescent="0.35">
      <c r="B64" s="136"/>
      <c r="C64" s="139" t="s">
        <v>4</v>
      </c>
      <c r="D64" s="228">
        <v>6.08777904</v>
      </c>
      <c r="E64" s="225" t="s">
        <v>370</v>
      </c>
      <c r="F64" s="35"/>
      <c r="G64" s="135" t="s">
        <v>4</v>
      </c>
      <c r="H64" s="135"/>
      <c r="I64" s="135"/>
      <c r="J64" s="223"/>
      <c r="K64" s="143"/>
      <c r="M64" s="148"/>
      <c r="N64" s="12"/>
      <c r="O64" s="12"/>
      <c r="P64" s="12"/>
      <c r="Q64" s="12"/>
      <c r="R64" s="12"/>
      <c r="S64" s="12"/>
      <c r="T64" s="12"/>
      <c r="U64" s="12"/>
      <c r="V64" s="12"/>
      <c r="W64" s="12"/>
      <c r="X64" s="12"/>
      <c r="Y64" s="12"/>
      <c r="Z64" s="12"/>
      <c r="AA64" s="12"/>
      <c r="AB64" s="12"/>
      <c r="AC64" s="12"/>
      <c r="AD64" s="12"/>
      <c r="AE64" s="12"/>
      <c r="AF64" s="12"/>
      <c r="AG64" s="12"/>
      <c r="AH64" s="12"/>
      <c r="AI64" s="12"/>
      <c r="AJ64" s="12"/>
      <c r="AK64" s="12"/>
      <c r="AL64" s="12"/>
      <c r="AM64" s="149"/>
    </row>
    <row r="65" spans="2:39" ht="24" customHeight="1" thickBot="1" x14ac:dyDescent="0.5">
      <c r="B65" s="136"/>
      <c r="C65" s="147"/>
      <c r="D65" s="146"/>
      <c r="E65" s="146"/>
      <c r="F65" s="146"/>
      <c r="G65" s="224" t="s">
        <v>486</v>
      </c>
      <c r="H65" s="141"/>
      <c r="I65" s="141"/>
      <c r="J65" s="222"/>
      <c r="K65" s="143"/>
      <c r="L65" t="s">
        <v>45</v>
      </c>
      <c r="M65" s="148"/>
      <c r="N65" s="12"/>
      <c r="O65" s="12"/>
      <c r="P65" s="12"/>
      <c r="Q65" s="12"/>
      <c r="R65" s="12"/>
      <c r="S65" s="12"/>
      <c r="T65" s="12"/>
      <c r="U65" s="12"/>
      <c r="V65" s="12"/>
      <c r="W65" s="12"/>
      <c r="X65" s="12"/>
      <c r="Y65" s="12"/>
      <c r="Z65" s="12"/>
      <c r="AA65" s="12"/>
      <c r="AB65" s="12"/>
      <c r="AC65" s="12"/>
      <c r="AD65" s="12"/>
      <c r="AE65" s="12"/>
      <c r="AF65" s="12"/>
      <c r="AG65" s="12"/>
      <c r="AH65" s="12"/>
      <c r="AI65" s="12"/>
      <c r="AJ65" s="12"/>
      <c r="AK65" s="12"/>
      <c r="AL65" s="12"/>
      <c r="AM65" s="149"/>
    </row>
    <row r="66" spans="2:39" ht="15" thickBot="1" x14ac:dyDescent="0.4">
      <c r="B66" s="136"/>
      <c r="C66" s="12"/>
      <c r="D66" s="12"/>
      <c r="E66" s="12"/>
      <c r="F66" s="12"/>
      <c r="G66" s="12"/>
      <c r="H66" s="12"/>
      <c r="I66" s="12"/>
      <c r="J66" s="12"/>
      <c r="K66" s="143"/>
      <c r="M66" s="148"/>
      <c r="N66" s="12"/>
      <c r="O66" s="12"/>
      <c r="P66" s="12"/>
      <c r="Q66" s="12"/>
      <c r="R66" s="12"/>
      <c r="S66" s="12"/>
      <c r="T66" s="12"/>
      <c r="U66" s="12"/>
      <c r="V66" s="12"/>
      <c r="W66" s="12"/>
      <c r="X66" s="12"/>
      <c r="Y66" s="12"/>
      <c r="Z66" s="12"/>
      <c r="AA66" s="12"/>
      <c r="AB66" s="12"/>
      <c r="AC66" s="12"/>
      <c r="AD66" s="12"/>
      <c r="AE66" s="12"/>
      <c r="AF66" s="12"/>
      <c r="AG66" s="12"/>
      <c r="AH66" s="12"/>
      <c r="AI66" s="12"/>
      <c r="AJ66" s="12"/>
      <c r="AK66" s="12"/>
      <c r="AL66" s="12"/>
      <c r="AM66" s="149"/>
    </row>
    <row r="67" spans="2:39" ht="22.5" customHeight="1" x14ac:dyDescent="0.6">
      <c r="B67" s="136"/>
      <c r="C67" s="218" t="s">
        <v>346</v>
      </c>
      <c r="D67" s="219" t="s">
        <v>378</v>
      </c>
      <c r="E67" s="145"/>
      <c r="F67" s="219"/>
      <c r="G67" s="219"/>
      <c r="H67" s="219"/>
      <c r="I67" s="219"/>
      <c r="J67" s="220"/>
      <c r="K67" s="143"/>
      <c r="M67" s="469" t="s">
        <v>491</v>
      </c>
      <c r="N67" s="470"/>
      <c r="O67" s="470"/>
      <c r="P67" s="470"/>
      <c r="Q67" s="470"/>
      <c r="R67" s="470"/>
      <c r="S67" s="470"/>
      <c r="T67" s="470"/>
      <c r="U67" s="470"/>
      <c r="V67" s="470"/>
      <c r="W67" s="470"/>
      <c r="X67" s="470"/>
      <c r="Y67" s="470"/>
      <c r="Z67" s="470"/>
      <c r="AA67" s="470"/>
      <c r="AB67" s="470"/>
      <c r="AC67" s="470"/>
      <c r="AD67" s="470"/>
      <c r="AE67" s="470"/>
      <c r="AF67" s="470"/>
      <c r="AG67" s="470"/>
      <c r="AH67" s="470"/>
      <c r="AI67" s="470"/>
      <c r="AJ67" s="470"/>
      <c r="AK67" s="470"/>
      <c r="AL67" s="470"/>
      <c r="AM67" s="471"/>
    </row>
    <row r="68" spans="2:39" ht="17.5" customHeight="1" x14ac:dyDescent="0.35">
      <c r="B68" s="136"/>
      <c r="C68" s="221" t="s">
        <v>44</v>
      </c>
      <c r="D68" s="210" t="s">
        <v>55</v>
      </c>
      <c r="E68" s="110"/>
      <c r="F68" s="12"/>
      <c r="G68" s="12"/>
      <c r="H68" s="110"/>
      <c r="I68" s="110"/>
      <c r="J68" s="137"/>
      <c r="K68" s="143"/>
      <c r="M68" s="148"/>
      <c r="N68" s="110"/>
      <c r="O68" s="12"/>
      <c r="P68" s="12"/>
      <c r="Q68" s="12"/>
      <c r="R68" s="12"/>
      <c r="S68" s="12"/>
      <c r="T68" s="12"/>
      <c r="U68" s="12"/>
      <c r="V68" s="12"/>
      <c r="W68" s="12"/>
      <c r="X68" s="12"/>
      <c r="Y68" s="12"/>
      <c r="Z68" s="12"/>
      <c r="AA68" s="12"/>
      <c r="AB68" s="12"/>
      <c r="AC68" s="12"/>
      <c r="AD68" s="12"/>
      <c r="AE68" s="12"/>
      <c r="AF68" s="12"/>
      <c r="AG68" s="12"/>
      <c r="AH68" s="12"/>
      <c r="AI68" s="12"/>
      <c r="AJ68" s="12"/>
      <c r="AK68" s="12"/>
      <c r="AL68" s="12"/>
      <c r="AM68" s="149"/>
    </row>
    <row r="69" spans="2:39" ht="15.5" x14ac:dyDescent="0.35">
      <c r="B69" s="136"/>
      <c r="C69" s="209"/>
      <c r="D69" s="12"/>
      <c r="E69" s="110"/>
      <c r="F69" s="12"/>
      <c r="G69" s="110"/>
      <c r="H69" s="110"/>
      <c r="I69" s="110"/>
      <c r="J69" s="137"/>
      <c r="K69" s="143"/>
      <c r="M69" s="148"/>
      <c r="O69" s="12"/>
      <c r="P69" s="12"/>
      <c r="Q69" s="12"/>
      <c r="R69" s="12"/>
      <c r="S69" s="12"/>
      <c r="T69" s="12"/>
      <c r="U69" s="12"/>
      <c r="V69" s="12"/>
      <c r="W69" s="12"/>
      <c r="X69" s="12"/>
      <c r="Y69" s="12"/>
      <c r="Z69" s="12"/>
      <c r="AA69" s="12"/>
      <c r="AB69" s="12"/>
      <c r="AC69" s="12"/>
      <c r="AD69" s="12"/>
      <c r="AE69" s="12"/>
      <c r="AF69" s="12"/>
      <c r="AG69" s="12"/>
      <c r="AH69" s="12"/>
      <c r="AI69" s="12"/>
      <c r="AJ69" s="12"/>
      <c r="AK69" s="12"/>
      <c r="AL69" s="12"/>
      <c r="AM69" s="149"/>
    </row>
    <row r="70" spans="2:39" ht="22.75" customHeight="1" x14ac:dyDescent="0.35">
      <c r="B70" s="136"/>
      <c r="C70" s="139" t="s">
        <v>4</v>
      </c>
      <c r="D70" s="228">
        <v>0.63</v>
      </c>
      <c r="E70" s="135" t="s">
        <v>43</v>
      </c>
      <c r="F70" s="35"/>
      <c r="G70" s="135" t="s">
        <v>4</v>
      </c>
      <c r="H70" s="135"/>
      <c r="I70" s="135"/>
      <c r="J70" s="223"/>
      <c r="K70" s="143"/>
      <c r="M70" s="148"/>
      <c r="N70" s="12"/>
      <c r="O70" s="12"/>
      <c r="P70" s="12"/>
      <c r="Q70" s="12"/>
      <c r="R70" s="12"/>
      <c r="S70" s="12"/>
      <c r="T70" s="12"/>
      <c r="U70" s="12"/>
      <c r="V70" s="12"/>
      <c r="W70" s="12"/>
      <c r="X70" s="12"/>
      <c r="Y70" s="12"/>
      <c r="Z70" s="12"/>
      <c r="AA70" s="12"/>
      <c r="AB70" s="12"/>
      <c r="AC70" s="12"/>
      <c r="AD70" s="12"/>
      <c r="AE70" s="12"/>
      <c r="AF70" s="12"/>
      <c r="AG70" s="12"/>
      <c r="AH70" s="12"/>
      <c r="AI70" s="12"/>
      <c r="AJ70" s="12"/>
      <c r="AK70" s="12"/>
      <c r="AL70" s="12"/>
      <c r="AM70" s="149"/>
    </row>
    <row r="71" spans="2:39" ht="22.75" customHeight="1" x14ac:dyDescent="0.35">
      <c r="B71" s="136"/>
      <c r="C71" s="139" t="s">
        <v>9</v>
      </c>
      <c r="D71" s="228">
        <v>0.28999999999999998</v>
      </c>
      <c r="E71" s="135" t="s">
        <v>43</v>
      </c>
      <c r="F71" s="35"/>
      <c r="G71" s="135" t="s">
        <v>9</v>
      </c>
      <c r="H71" s="135"/>
      <c r="I71" s="135"/>
      <c r="J71" s="223"/>
      <c r="K71" s="143"/>
      <c r="M71" s="148"/>
      <c r="N71" s="12"/>
      <c r="O71" s="12"/>
      <c r="P71" s="12"/>
      <c r="Q71" s="12"/>
      <c r="R71" s="12"/>
      <c r="S71" s="12"/>
      <c r="T71" s="12"/>
      <c r="U71" s="12"/>
      <c r="V71" s="12"/>
      <c r="W71" s="12"/>
      <c r="X71" s="12"/>
      <c r="Y71" s="12"/>
      <c r="Z71" s="12"/>
      <c r="AA71" s="12"/>
      <c r="AB71" s="12"/>
      <c r="AC71" s="12"/>
      <c r="AD71" s="12"/>
      <c r="AE71" s="12"/>
      <c r="AF71" s="12"/>
      <c r="AG71" s="12"/>
      <c r="AH71" s="12"/>
      <c r="AI71" s="12"/>
      <c r="AJ71" s="12"/>
      <c r="AK71" s="12"/>
      <c r="AL71" s="12"/>
      <c r="AM71" s="149"/>
    </row>
    <row r="72" spans="2:39" ht="25.25" customHeight="1" thickBot="1" x14ac:dyDescent="0.5">
      <c r="B72" s="136"/>
      <c r="C72" s="147"/>
      <c r="D72" s="146"/>
      <c r="E72" s="146"/>
      <c r="F72" s="146"/>
      <c r="G72" s="224" t="s">
        <v>486</v>
      </c>
      <c r="H72" s="141"/>
      <c r="I72" s="141"/>
      <c r="J72" s="222"/>
      <c r="K72" s="143"/>
      <c r="M72" s="164"/>
      <c r="N72" s="12"/>
      <c r="O72" s="12"/>
      <c r="P72" s="12"/>
      <c r="Q72" s="12"/>
      <c r="R72" s="12"/>
      <c r="S72" s="12"/>
      <c r="AC72" s="12"/>
      <c r="AD72" s="12"/>
      <c r="AE72" s="12"/>
      <c r="AF72" s="12"/>
      <c r="AG72" s="12"/>
      <c r="AH72" s="12"/>
      <c r="AI72" s="12"/>
      <c r="AJ72" s="12"/>
      <c r="AK72" s="12"/>
      <c r="AL72" s="12"/>
      <c r="AM72" s="149"/>
    </row>
    <row r="73" spans="2:39" ht="15" thickBot="1" x14ac:dyDescent="0.4">
      <c r="B73" s="147"/>
      <c r="C73" s="146"/>
      <c r="D73" s="146"/>
      <c r="E73" s="146"/>
      <c r="F73" s="146"/>
      <c r="G73" s="146"/>
      <c r="H73" s="146"/>
      <c r="I73" s="146"/>
      <c r="J73" s="146"/>
      <c r="K73" s="144"/>
      <c r="M73" s="148"/>
      <c r="N73" s="12"/>
      <c r="O73" s="12"/>
      <c r="P73" s="12"/>
      <c r="Q73" s="12"/>
      <c r="R73" s="12"/>
      <c r="S73" s="12"/>
      <c r="T73" s="12"/>
      <c r="U73" s="12"/>
      <c r="V73" s="12"/>
      <c r="W73" s="12"/>
      <c r="X73" s="12"/>
      <c r="Y73" s="12"/>
      <c r="Z73" s="12"/>
      <c r="AA73" s="12"/>
      <c r="AB73" s="12"/>
      <c r="AC73" s="12"/>
      <c r="AD73" s="12"/>
      <c r="AE73" s="12"/>
      <c r="AF73" s="12"/>
      <c r="AG73" s="12"/>
      <c r="AH73" s="12"/>
      <c r="AI73" s="12"/>
      <c r="AJ73" s="12"/>
      <c r="AK73" s="12"/>
      <c r="AL73" s="12"/>
      <c r="AM73" s="149"/>
    </row>
    <row r="74" spans="2:39" ht="13.25" hidden="1" customHeight="1" x14ac:dyDescent="0.35">
      <c r="M74" s="148"/>
      <c r="O74" s="12"/>
      <c r="P74" s="12"/>
      <c r="Q74" s="12"/>
      <c r="R74" s="12"/>
      <c r="S74" s="12"/>
      <c r="T74" s="12"/>
      <c r="U74" s="12"/>
      <c r="V74" s="12"/>
      <c r="W74" s="12"/>
      <c r="X74" s="12"/>
      <c r="Y74" s="12"/>
      <c r="Z74" s="12"/>
      <c r="AA74" s="12"/>
      <c r="AB74" s="12"/>
      <c r="AC74" s="12"/>
      <c r="AD74" s="12"/>
      <c r="AE74" s="12"/>
      <c r="AF74" s="12"/>
      <c r="AG74" s="12"/>
      <c r="AH74" s="12"/>
      <c r="AI74" s="12"/>
      <c r="AJ74" s="12"/>
      <c r="AK74" s="12"/>
      <c r="AL74" s="12"/>
      <c r="AM74" s="149"/>
    </row>
    <row r="75" spans="2:39" ht="12.65" hidden="1" customHeight="1" x14ac:dyDescent="0.35">
      <c r="M75" s="148"/>
      <c r="N75" s="12"/>
      <c r="O75" s="12"/>
      <c r="P75" s="12"/>
      <c r="Q75" s="12"/>
      <c r="R75" s="12"/>
      <c r="S75" s="12"/>
      <c r="T75" s="12"/>
      <c r="U75" s="12"/>
      <c r="V75" s="12"/>
      <c r="W75" s="12"/>
      <c r="X75" s="12"/>
      <c r="Y75" s="12"/>
      <c r="Z75" s="12"/>
      <c r="AA75" s="12"/>
      <c r="AB75" s="12"/>
      <c r="AC75" s="12"/>
      <c r="AD75" s="12"/>
      <c r="AE75" s="12"/>
      <c r="AF75" s="12"/>
      <c r="AG75" s="12"/>
      <c r="AH75" s="12"/>
      <c r="AI75" s="12"/>
      <c r="AJ75" s="12"/>
      <c r="AK75" s="12"/>
      <c r="AL75" s="12"/>
      <c r="AM75" s="149"/>
    </row>
    <row r="76" spans="2:39" ht="15" thickBot="1" x14ac:dyDescent="0.4">
      <c r="M76" s="148"/>
      <c r="N76" s="12"/>
      <c r="O76" s="12"/>
      <c r="P76" s="12"/>
      <c r="Q76" s="12"/>
      <c r="R76" s="12"/>
      <c r="S76" s="12"/>
      <c r="T76" s="12"/>
      <c r="U76" s="12"/>
      <c r="V76" s="12"/>
      <c r="W76" s="12"/>
      <c r="X76" s="12"/>
      <c r="Y76" s="12"/>
      <c r="Z76" s="12"/>
      <c r="AA76" s="12"/>
      <c r="AB76" s="12"/>
      <c r="AC76" s="12"/>
      <c r="AD76" s="12"/>
      <c r="AE76" s="12"/>
      <c r="AF76" s="12"/>
      <c r="AG76" s="12"/>
      <c r="AH76" s="12"/>
      <c r="AI76" s="12"/>
      <c r="AJ76" s="12"/>
      <c r="AK76" s="12"/>
      <c r="AL76" s="12"/>
      <c r="AM76" s="149"/>
    </row>
    <row r="77" spans="2:39" ht="22.5" customHeight="1" x14ac:dyDescent="0.55000000000000004">
      <c r="B77" s="156" t="s">
        <v>475</v>
      </c>
      <c r="C77" s="235"/>
      <c r="D77" s="235"/>
      <c r="E77" s="235"/>
      <c r="F77" s="235"/>
      <c r="G77" s="235"/>
      <c r="H77" s="235"/>
      <c r="I77" s="235"/>
      <c r="J77" s="235"/>
      <c r="K77" s="236"/>
      <c r="M77" s="148"/>
      <c r="N77" s="12"/>
      <c r="O77" s="12"/>
      <c r="P77" s="12"/>
      <c r="Q77" s="12"/>
      <c r="R77" s="12"/>
      <c r="S77" s="12"/>
      <c r="T77" s="12"/>
      <c r="U77" s="12"/>
      <c r="V77" s="12"/>
      <c r="W77" s="12"/>
      <c r="X77" s="12"/>
      <c r="Y77" s="12"/>
      <c r="Z77" s="12"/>
      <c r="AA77" s="12"/>
      <c r="AB77" s="12"/>
      <c r="AC77" s="12"/>
      <c r="AD77" s="12"/>
      <c r="AE77" s="12"/>
      <c r="AF77" s="12"/>
      <c r="AG77" s="12"/>
      <c r="AH77" s="12"/>
      <c r="AI77" s="12"/>
      <c r="AJ77" s="12"/>
      <c r="AK77" s="12"/>
      <c r="AL77" s="12"/>
      <c r="AM77" s="149"/>
    </row>
    <row r="78" spans="2:39" x14ac:dyDescent="0.35">
      <c r="B78" s="136"/>
      <c r="C78" s="12"/>
      <c r="D78" s="12"/>
      <c r="E78" s="12"/>
      <c r="F78" s="12"/>
      <c r="G78" s="12"/>
      <c r="H78" s="12"/>
      <c r="I78" s="12"/>
      <c r="J78" s="12"/>
      <c r="K78" s="143"/>
      <c r="M78" s="148"/>
      <c r="N78" s="12"/>
      <c r="O78" s="12"/>
      <c r="P78" s="12"/>
      <c r="Q78" s="12"/>
      <c r="R78" s="12"/>
      <c r="S78" s="12"/>
      <c r="T78" s="12"/>
      <c r="U78" s="12"/>
      <c r="V78" s="12"/>
      <c r="W78" s="12"/>
      <c r="X78" s="12"/>
      <c r="Y78" s="12"/>
      <c r="Z78" s="12"/>
      <c r="AA78" s="12"/>
      <c r="AB78" s="12"/>
      <c r="AC78" s="12"/>
      <c r="AD78" s="12"/>
      <c r="AE78" s="12"/>
      <c r="AF78" s="12"/>
      <c r="AG78" s="12"/>
      <c r="AH78" s="12"/>
      <c r="AI78" s="12"/>
      <c r="AJ78" s="12"/>
      <c r="AK78" s="12"/>
      <c r="AL78" s="12"/>
      <c r="AM78" s="149"/>
    </row>
    <row r="79" spans="2:39" ht="18.649999999999999" customHeight="1" thickBot="1" x14ac:dyDescent="0.4">
      <c r="B79" s="136"/>
      <c r="C79" s="12"/>
      <c r="D79" s="12"/>
      <c r="E79" s="12"/>
      <c r="F79" s="12"/>
      <c r="G79" s="12"/>
      <c r="H79" s="12"/>
      <c r="I79" s="12"/>
      <c r="J79" s="12"/>
      <c r="K79" s="143"/>
      <c r="M79" s="148"/>
      <c r="N79" s="12"/>
      <c r="O79" s="12"/>
      <c r="P79" s="12"/>
      <c r="Q79" s="12"/>
      <c r="R79" s="12"/>
      <c r="S79" s="12"/>
      <c r="T79" s="12"/>
      <c r="U79" s="12"/>
      <c r="V79" s="12"/>
      <c r="W79" s="12"/>
      <c r="X79" s="12"/>
      <c r="Y79" s="12"/>
      <c r="Z79" s="12"/>
      <c r="AA79" s="12"/>
      <c r="AB79" s="12"/>
      <c r="AC79" s="12"/>
      <c r="AD79" s="12"/>
      <c r="AE79" s="12"/>
      <c r="AF79" s="12"/>
      <c r="AG79" s="12"/>
      <c r="AH79" s="12"/>
      <c r="AI79" s="12"/>
      <c r="AJ79" s="12"/>
      <c r="AK79" s="12"/>
      <c r="AL79" s="12"/>
      <c r="AM79" s="149"/>
    </row>
    <row r="80" spans="2:39" ht="15.5" x14ac:dyDescent="0.35">
      <c r="B80" s="136"/>
      <c r="C80" s="218" t="s">
        <v>346</v>
      </c>
      <c r="D80" s="219" t="s">
        <v>49</v>
      </c>
      <c r="E80" s="145"/>
      <c r="F80" s="219"/>
      <c r="G80" s="219"/>
      <c r="H80" s="219"/>
      <c r="I80" s="219"/>
      <c r="J80" s="220"/>
      <c r="K80" s="143"/>
      <c r="M80" s="148"/>
      <c r="N80" s="12"/>
      <c r="O80" s="12"/>
      <c r="P80" s="12"/>
      <c r="Q80" s="12"/>
      <c r="R80" s="12"/>
      <c r="S80" s="12"/>
      <c r="T80" s="12"/>
      <c r="U80" s="12"/>
      <c r="V80" s="12"/>
      <c r="W80" s="12"/>
      <c r="X80" s="12"/>
      <c r="Y80" s="12"/>
      <c r="Z80" s="12"/>
      <c r="AA80" s="12"/>
      <c r="AB80" s="12"/>
      <c r="AC80" s="12"/>
      <c r="AD80" s="12"/>
      <c r="AE80" s="12"/>
      <c r="AF80" s="12"/>
      <c r="AG80" s="12"/>
      <c r="AH80" s="12"/>
      <c r="AI80" s="12"/>
      <c r="AJ80" s="12"/>
      <c r="AK80" s="12"/>
      <c r="AL80" s="12"/>
      <c r="AM80" s="149"/>
    </row>
    <row r="81" spans="1:39" ht="15.5" x14ac:dyDescent="0.35">
      <c r="A81" s="12"/>
      <c r="B81" s="136"/>
      <c r="C81" s="221" t="s">
        <v>44</v>
      </c>
      <c r="D81" s="210" t="s">
        <v>51</v>
      </c>
      <c r="E81" s="110"/>
      <c r="F81" s="12"/>
      <c r="G81" s="110" t="s">
        <v>0</v>
      </c>
      <c r="H81" s="110"/>
      <c r="I81" s="110"/>
      <c r="J81" s="137"/>
      <c r="K81" s="143"/>
      <c r="L81" s="12"/>
      <c r="M81" s="148"/>
      <c r="N81" s="12"/>
      <c r="O81" s="12"/>
      <c r="P81" s="12"/>
      <c r="Q81" s="12"/>
      <c r="R81" s="12"/>
      <c r="S81" s="12"/>
      <c r="T81" s="12"/>
      <c r="U81" s="12"/>
      <c r="V81" s="12"/>
      <c r="W81" s="12"/>
      <c r="X81" s="12"/>
      <c r="Y81" s="12"/>
      <c r="Z81" s="12"/>
      <c r="AA81" s="12"/>
      <c r="AB81" s="12"/>
      <c r="AC81" s="12"/>
      <c r="AD81" s="12"/>
      <c r="AE81" s="12"/>
      <c r="AF81" s="12"/>
      <c r="AG81" s="12"/>
      <c r="AH81" s="12"/>
      <c r="AI81" s="12"/>
      <c r="AJ81" s="12"/>
      <c r="AK81" s="12"/>
      <c r="AL81" s="12"/>
      <c r="AM81" s="149"/>
    </row>
    <row r="82" spans="1:39" ht="15.5" hidden="1" x14ac:dyDescent="0.35">
      <c r="A82" s="12"/>
      <c r="B82" s="136"/>
      <c r="C82" s="209"/>
      <c r="D82" s="12"/>
      <c r="E82" s="110"/>
      <c r="F82" s="12"/>
      <c r="H82" s="110"/>
      <c r="I82" s="110"/>
      <c r="J82" s="137"/>
      <c r="K82" s="143"/>
      <c r="L82" s="12"/>
      <c r="M82" s="148"/>
      <c r="N82" s="12"/>
      <c r="O82" s="12"/>
      <c r="P82" s="12"/>
      <c r="Q82" s="12"/>
      <c r="R82" s="12"/>
      <c r="S82" s="12"/>
      <c r="T82" s="12"/>
      <c r="U82" s="12"/>
      <c r="V82" s="12"/>
      <c r="W82" s="12"/>
      <c r="X82" s="12"/>
      <c r="Y82" s="12"/>
      <c r="Z82" s="12"/>
      <c r="AA82" s="12"/>
      <c r="AB82" s="12"/>
      <c r="AC82" s="12"/>
      <c r="AD82" s="12"/>
      <c r="AE82" s="12"/>
      <c r="AF82" s="12"/>
      <c r="AG82" s="12"/>
      <c r="AH82" s="12"/>
      <c r="AI82" s="12"/>
      <c r="AJ82" s="12"/>
      <c r="AK82" s="12"/>
      <c r="AL82" s="12"/>
      <c r="AM82" s="149"/>
    </row>
    <row r="83" spans="1:39" ht="22.25" customHeight="1" x14ac:dyDescent="0.35">
      <c r="A83" s="12"/>
      <c r="B83" s="136"/>
      <c r="C83" s="139" t="s">
        <v>4</v>
      </c>
      <c r="D83" s="242">
        <v>5.125</v>
      </c>
      <c r="E83" s="225" t="s">
        <v>402</v>
      </c>
      <c r="F83" s="35"/>
      <c r="G83" s="135" t="s">
        <v>4</v>
      </c>
      <c r="H83" s="35"/>
      <c r="I83" s="35"/>
      <c r="J83" s="188"/>
      <c r="K83" s="143"/>
      <c r="L83" s="12"/>
      <c r="M83" s="148"/>
      <c r="N83" s="87"/>
      <c r="O83" s="87"/>
      <c r="P83" s="87"/>
      <c r="Q83" s="87"/>
      <c r="R83" s="87"/>
      <c r="S83" s="87"/>
      <c r="T83" s="87"/>
      <c r="U83" s="87"/>
      <c r="V83" s="87"/>
      <c r="W83" s="87"/>
      <c r="X83" s="87"/>
      <c r="Y83" s="87"/>
      <c r="Z83" s="87"/>
      <c r="AA83" s="87"/>
      <c r="AB83" s="87"/>
      <c r="AC83" s="87"/>
      <c r="AD83" s="87"/>
      <c r="AE83" s="87"/>
      <c r="AF83" s="12"/>
      <c r="AG83" s="12"/>
      <c r="AH83" s="12"/>
      <c r="AI83" s="12"/>
      <c r="AJ83" s="12"/>
      <c r="AK83" s="12"/>
      <c r="AL83" s="12"/>
      <c r="AM83" s="149"/>
    </row>
    <row r="84" spans="1:39" ht="22.25" customHeight="1" x14ac:dyDescent="0.35">
      <c r="A84" s="12"/>
      <c r="B84" s="136"/>
      <c r="C84" s="241" t="s">
        <v>9</v>
      </c>
      <c r="D84" s="243">
        <v>0.645569620253165</v>
      </c>
      <c r="E84" s="239" t="s">
        <v>402</v>
      </c>
      <c r="F84" s="12"/>
      <c r="G84" s="239" t="s">
        <v>9</v>
      </c>
      <c r="H84" s="12"/>
      <c r="I84" s="12"/>
      <c r="J84" s="143"/>
      <c r="K84" s="143"/>
      <c r="L84" s="12"/>
      <c r="M84" s="148"/>
      <c r="N84" s="87"/>
      <c r="O84" s="87"/>
      <c r="P84" s="87"/>
      <c r="Q84" s="87"/>
      <c r="R84" s="87"/>
      <c r="S84" s="87"/>
      <c r="T84" s="87"/>
      <c r="U84" s="87"/>
      <c r="V84" s="87"/>
      <c r="W84" s="87"/>
      <c r="X84" s="87"/>
      <c r="Y84" s="87"/>
      <c r="Z84" s="87"/>
      <c r="AA84" s="87"/>
      <c r="AB84" s="87"/>
      <c r="AC84" s="87"/>
      <c r="AD84" s="87"/>
      <c r="AE84" s="87"/>
      <c r="AF84" s="12"/>
      <c r="AG84" s="12"/>
      <c r="AH84" s="12"/>
      <c r="AI84" s="12"/>
      <c r="AJ84" s="12"/>
      <c r="AK84" s="12"/>
      <c r="AL84" s="12"/>
      <c r="AM84" s="149"/>
    </row>
    <row r="85" spans="1:39" ht="24" customHeight="1" x14ac:dyDescent="0.45">
      <c r="A85" s="12"/>
      <c r="B85" s="136"/>
      <c r="C85" s="136"/>
      <c r="D85" s="12"/>
      <c r="E85" s="12"/>
      <c r="F85" s="12"/>
      <c r="G85" s="239" t="s">
        <v>486</v>
      </c>
      <c r="H85" s="12"/>
      <c r="I85" s="12"/>
      <c r="J85" s="143"/>
      <c r="K85" s="143"/>
      <c r="L85" s="12"/>
      <c r="M85" s="148"/>
      <c r="N85" s="12"/>
      <c r="O85" s="12"/>
      <c r="P85" s="12"/>
      <c r="Q85" s="12"/>
      <c r="R85" s="12"/>
      <c r="S85" s="12"/>
      <c r="T85" s="12"/>
      <c r="U85" s="12"/>
      <c r="V85" s="12"/>
      <c r="W85" s="12"/>
      <c r="X85" s="12"/>
      <c r="Y85" s="12"/>
      <c r="Z85" s="12"/>
      <c r="AA85" s="12"/>
      <c r="AB85" s="12"/>
      <c r="AC85" s="12"/>
      <c r="AD85" s="12"/>
      <c r="AE85" s="12"/>
      <c r="AF85" s="12"/>
      <c r="AG85" s="12"/>
      <c r="AH85" s="12"/>
      <c r="AI85" s="12"/>
      <c r="AJ85" s="12"/>
      <c r="AK85" s="12"/>
      <c r="AL85" s="12"/>
      <c r="AM85" s="149"/>
    </row>
    <row r="86" spans="1:39" ht="16.75" customHeight="1" x14ac:dyDescent="0.35">
      <c r="A86" s="12"/>
      <c r="B86" s="136"/>
      <c r="C86" s="136"/>
      <c r="D86" s="12"/>
      <c r="E86" s="12"/>
      <c r="F86" s="12"/>
      <c r="G86" s="12"/>
      <c r="H86" s="12"/>
      <c r="I86" s="12"/>
      <c r="J86" s="143"/>
      <c r="K86" s="143"/>
      <c r="L86" s="12"/>
      <c r="M86" s="148"/>
      <c r="N86" s="12"/>
      <c r="O86" s="12"/>
      <c r="P86" s="12"/>
      <c r="Q86" s="12"/>
      <c r="R86" s="12"/>
      <c r="S86" s="12"/>
      <c r="T86" s="12"/>
      <c r="U86" s="12"/>
      <c r="V86" s="12"/>
      <c r="W86" s="12"/>
      <c r="X86" s="12"/>
      <c r="Y86" s="12"/>
      <c r="Z86" s="12"/>
      <c r="AA86" s="12"/>
      <c r="AB86" s="12"/>
      <c r="AC86" s="12"/>
      <c r="AD86" s="12"/>
      <c r="AE86" s="12"/>
      <c r="AF86" s="12"/>
      <c r="AG86" s="12"/>
      <c r="AH86" s="12"/>
      <c r="AI86" s="12"/>
      <c r="AJ86" s="12"/>
      <c r="AK86" s="12"/>
      <c r="AL86" s="12"/>
      <c r="AM86" s="149"/>
    </row>
    <row r="87" spans="1:39" ht="15.5" x14ac:dyDescent="0.35">
      <c r="B87" s="136"/>
      <c r="C87" s="221" t="s">
        <v>44</v>
      </c>
      <c r="D87" s="210" t="s">
        <v>53</v>
      </c>
      <c r="E87" s="12"/>
      <c r="F87" s="12"/>
      <c r="G87" s="12"/>
      <c r="H87" s="12"/>
      <c r="I87" s="12"/>
      <c r="J87" s="143"/>
      <c r="K87" s="143"/>
      <c r="M87" s="148"/>
      <c r="N87" s="12"/>
      <c r="O87" s="12"/>
      <c r="P87" s="12"/>
      <c r="Q87" s="12"/>
      <c r="R87" s="12"/>
      <c r="S87" s="12"/>
      <c r="T87" s="12"/>
      <c r="U87" s="12"/>
      <c r="V87" s="12"/>
      <c r="W87" s="12"/>
      <c r="X87" s="12"/>
      <c r="Y87" s="12"/>
      <c r="Z87" s="12"/>
      <c r="AA87" s="12"/>
      <c r="AB87" s="12"/>
      <c r="AC87" s="12"/>
      <c r="AD87" s="12"/>
      <c r="AE87" s="12"/>
      <c r="AF87" s="12"/>
      <c r="AG87" s="12"/>
      <c r="AH87" s="12"/>
      <c r="AI87" s="12"/>
      <c r="AJ87" s="12"/>
      <c r="AK87" s="12"/>
      <c r="AL87" s="12"/>
      <c r="AM87" s="149"/>
    </row>
    <row r="88" spans="1:39" ht="22.25" customHeight="1" x14ac:dyDescent="0.35">
      <c r="B88" s="136"/>
      <c r="C88" s="139" t="s">
        <v>4</v>
      </c>
      <c r="D88" s="242">
        <v>6.9489999999999998</v>
      </c>
      <c r="E88" s="225" t="s">
        <v>403</v>
      </c>
      <c r="F88" s="35"/>
      <c r="G88" s="135" t="s">
        <v>4</v>
      </c>
      <c r="H88" s="35"/>
      <c r="I88" s="35"/>
      <c r="J88" s="188"/>
      <c r="K88" s="143"/>
      <c r="M88" s="148"/>
      <c r="N88" s="12"/>
      <c r="O88" s="12"/>
      <c r="P88" s="12"/>
      <c r="Q88" s="12"/>
      <c r="R88" s="12"/>
      <c r="S88" s="12"/>
      <c r="T88" s="12"/>
      <c r="U88" s="12"/>
      <c r="V88" s="12"/>
      <c r="W88" s="12"/>
      <c r="X88" s="12"/>
      <c r="Y88" s="12"/>
      <c r="Z88" s="12"/>
      <c r="AA88" s="12"/>
      <c r="AB88" s="12"/>
      <c r="AC88" s="12"/>
      <c r="AD88" s="12"/>
      <c r="AE88" s="12"/>
      <c r="AF88" s="12"/>
      <c r="AG88" s="12"/>
      <c r="AH88" s="12"/>
      <c r="AI88" s="12"/>
      <c r="AJ88" s="12"/>
      <c r="AK88" s="12"/>
      <c r="AL88" s="12"/>
      <c r="AM88" s="149"/>
    </row>
    <row r="89" spans="1:39" ht="22.25" customHeight="1" x14ac:dyDescent="0.35">
      <c r="B89" s="136"/>
      <c r="C89" s="241" t="s">
        <v>9</v>
      </c>
      <c r="D89" s="243">
        <v>0.322784810126582</v>
      </c>
      <c r="E89" s="239" t="s">
        <v>403</v>
      </c>
      <c r="F89" s="12"/>
      <c r="G89" s="239" t="s">
        <v>9</v>
      </c>
      <c r="H89" s="12"/>
      <c r="I89" s="12"/>
      <c r="J89" s="143"/>
      <c r="K89" s="143"/>
      <c r="M89" s="148"/>
      <c r="N89" s="12"/>
      <c r="O89" s="12"/>
      <c r="P89" s="12"/>
      <c r="Q89" s="12"/>
      <c r="R89" s="12"/>
      <c r="S89" s="12"/>
      <c r="T89" s="12"/>
      <c r="U89" s="12"/>
      <c r="V89" s="12"/>
      <c r="W89" s="12"/>
      <c r="X89" s="12"/>
      <c r="Y89" s="12"/>
      <c r="Z89" s="12"/>
      <c r="AA89" s="12"/>
      <c r="AB89" s="12"/>
      <c r="AC89" s="12"/>
      <c r="AD89" s="12"/>
      <c r="AE89" s="12"/>
      <c r="AF89" s="12"/>
      <c r="AG89" s="12"/>
      <c r="AH89" s="12"/>
      <c r="AI89" s="12"/>
      <c r="AJ89" s="12"/>
      <c r="AK89" s="12"/>
      <c r="AL89" s="12"/>
      <c r="AM89" s="149"/>
    </row>
    <row r="90" spans="1:39" ht="24.65" customHeight="1" x14ac:dyDescent="0.45">
      <c r="B90" s="136"/>
      <c r="C90" s="136"/>
      <c r="D90" s="12"/>
      <c r="E90" s="12"/>
      <c r="F90" s="12"/>
      <c r="G90" s="239" t="s">
        <v>486</v>
      </c>
      <c r="H90" s="12"/>
      <c r="I90" s="12"/>
      <c r="J90" s="143"/>
      <c r="K90" s="143"/>
      <c r="M90" s="148"/>
      <c r="N90" s="12"/>
      <c r="O90" s="12"/>
      <c r="P90" s="12"/>
      <c r="Q90" s="12"/>
      <c r="R90" s="12"/>
      <c r="S90" s="12"/>
      <c r="T90" s="12"/>
      <c r="U90" s="12"/>
      <c r="V90" s="12"/>
      <c r="W90" s="12"/>
      <c r="X90" s="12"/>
      <c r="Y90" s="12"/>
      <c r="Z90" s="12"/>
      <c r="AA90" s="12"/>
      <c r="AB90" s="12"/>
      <c r="AC90" s="12"/>
      <c r="AD90" s="12"/>
      <c r="AE90" s="12"/>
      <c r="AF90" s="12"/>
      <c r="AG90" s="12"/>
      <c r="AH90" s="12"/>
      <c r="AI90" s="12"/>
      <c r="AJ90" s="12"/>
      <c r="AK90" s="12"/>
      <c r="AL90" s="12"/>
      <c r="AM90" s="149"/>
    </row>
    <row r="91" spans="1:39" x14ac:dyDescent="0.35">
      <c r="B91" s="136"/>
      <c r="C91" s="136"/>
      <c r="D91" s="12"/>
      <c r="E91" s="12"/>
      <c r="F91" s="12"/>
      <c r="G91" s="12"/>
      <c r="H91" s="12"/>
      <c r="I91" s="12"/>
      <c r="J91" s="143"/>
      <c r="K91" s="143"/>
      <c r="M91" s="148"/>
      <c r="N91" s="12"/>
      <c r="O91" s="12"/>
      <c r="P91" s="12"/>
      <c r="Q91" s="12"/>
      <c r="R91" s="12"/>
      <c r="S91" s="12"/>
      <c r="T91" s="12"/>
      <c r="U91" s="12"/>
      <c r="V91" s="12"/>
      <c r="W91" s="12"/>
      <c r="X91" s="12"/>
      <c r="Y91" s="12"/>
      <c r="Z91" s="12"/>
      <c r="AA91" s="12"/>
      <c r="AB91" s="12"/>
      <c r="AC91" s="12"/>
      <c r="AD91" s="12"/>
      <c r="AE91" s="12"/>
      <c r="AF91" s="12"/>
      <c r="AG91" s="12"/>
      <c r="AH91" s="12"/>
      <c r="AI91" s="12"/>
      <c r="AJ91" s="12"/>
      <c r="AK91" s="12"/>
      <c r="AL91" s="12"/>
      <c r="AM91" s="149"/>
    </row>
    <row r="92" spans="1:39" ht="15.65" customHeight="1" x14ac:dyDescent="0.35">
      <c r="B92" s="136"/>
      <c r="C92" s="221" t="s">
        <v>44</v>
      </c>
      <c r="D92" s="210" t="s">
        <v>55</v>
      </c>
      <c r="E92" s="12"/>
      <c r="F92" s="12"/>
      <c r="G92" s="12"/>
      <c r="H92" s="12"/>
      <c r="I92" s="12"/>
      <c r="J92" s="143"/>
      <c r="K92" s="143"/>
      <c r="M92" s="148"/>
      <c r="N92" s="12"/>
      <c r="O92" s="12"/>
      <c r="P92" s="12"/>
      <c r="Q92" s="12"/>
      <c r="R92" s="12"/>
      <c r="S92" s="12"/>
      <c r="T92" s="12"/>
      <c r="U92" s="12"/>
      <c r="V92" s="12"/>
      <c r="W92" s="12"/>
      <c r="X92" s="12"/>
      <c r="Y92" s="12"/>
      <c r="Z92" s="12"/>
      <c r="AA92" s="12"/>
      <c r="AB92" s="12"/>
      <c r="AC92" s="12"/>
      <c r="AD92" s="12"/>
      <c r="AE92" s="12"/>
      <c r="AF92" s="12"/>
      <c r="AG92" s="12"/>
      <c r="AH92" s="12"/>
      <c r="AI92" s="12"/>
      <c r="AJ92" s="12"/>
      <c r="AK92" s="12"/>
      <c r="AL92" s="12"/>
      <c r="AM92" s="149"/>
    </row>
    <row r="93" spans="1:39" ht="22.25" customHeight="1" x14ac:dyDescent="0.35">
      <c r="B93" s="136"/>
      <c r="C93" s="139" t="s">
        <v>4</v>
      </c>
      <c r="D93" s="242">
        <v>15.982699999999999</v>
      </c>
      <c r="E93" s="225" t="s">
        <v>370</v>
      </c>
      <c r="F93" s="35"/>
      <c r="G93" s="135" t="s">
        <v>4</v>
      </c>
      <c r="H93" s="35"/>
      <c r="I93" s="35"/>
      <c r="J93" s="188"/>
      <c r="K93" s="143"/>
      <c r="M93" s="148"/>
      <c r="N93" s="12"/>
      <c r="O93" s="12"/>
      <c r="P93" s="12"/>
      <c r="Q93" s="12"/>
      <c r="R93" s="12"/>
      <c r="S93" s="12"/>
      <c r="T93" s="12"/>
      <c r="U93" s="12"/>
      <c r="V93" s="12"/>
      <c r="W93" s="12"/>
      <c r="X93" s="12"/>
      <c r="Y93" s="12"/>
      <c r="Z93" s="12"/>
      <c r="AA93" s="12"/>
      <c r="AB93" s="12"/>
      <c r="AC93" s="12"/>
      <c r="AD93" s="12"/>
      <c r="AE93" s="12"/>
      <c r="AF93" s="12"/>
      <c r="AG93" s="12"/>
      <c r="AH93" s="12"/>
      <c r="AI93" s="12"/>
      <c r="AJ93" s="12"/>
      <c r="AK93" s="12"/>
      <c r="AL93" s="12"/>
      <c r="AM93" s="149"/>
    </row>
    <row r="94" spans="1:39" ht="22.25" customHeight="1" x14ac:dyDescent="0.35">
      <c r="B94" s="136"/>
      <c r="C94" s="241" t="s">
        <v>9</v>
      </c>
      <c r="D94" s="243">
        <v>0.74240506329113898</v>
      </c>
      <c r="E94" s="239" t="s">
        <v>370</v>
      </c>
      <c r="F94" s="12"/>
      <c r="G94" s="239" t="s">
        <v>9</v>
      </c>
      <c r="H94" s="12"/>
      <c r="I94" s="12"/>
      <c r="J94" s="143"/>
      <c r="K94" s="143"/>
      <c r="M94" s="148"/>
      <c r="N94" s="12"/>
      <c r="O94" s="12"/>
      <c r="P94" s="12"/>
      <c r="Q94" s="12"/>
      <c r="R94" s="12"/>
      <c r="S94" s="12"/>
      <c r="T94" s="12"/>
      <c r="U94" s="12"/>
      <c r="V94" s="12"/>
      <c r="W94" s="12"/>
      <c r="X94" s="12"/>
      <c r="Y94" s="12"/>
      <c r="Z94" s="12"/>
      <c r="AA94" s="12"/>
      <c r="AB94" s="12"/>
      <c r="AC94" s="12"/>
      <c r="AD94" s="12"/>
      <c r="AE94" s="12"/>
      <c r="AF94" s="12"/>
      <c r="AG94" s="12"/>
      <c r="AH94" s="12"/>
      <c r="AI94" s="12"/>
      <c r="AJ94" s="12"/>
      <c r="AK94" s="12"/>
      <c r="AL94" s="12"/>
      <c r="AM94" s="149"/>
    </row>
    <row r="95" spans="1:39" ht="24.65" customHeight="1" x14ac:dyDescent="0.45">
      <c r="B95" s="136"/>
      <c r="C95" s="136"/>
      <c r="D95" s="12"/>
      <c r="E95" s="12"/>
      <c r="F95" s="12"/>
      <c r="G95" s="239" t="s">
        <v>486</v>
      </c>
      <c r="H95" s="12"/>
      <c r="I95" s="12"/>
      <c r="J95" s="143"/>
      <c r="K95" s="143"/>
      <c r="M95" s="148"/>
      <c r="N95" s="12"/>
      <c r="O95" s="12"/>
      <c r="P95" s="12"/>
      <c r="Q95" s="12"/>
      <c r="R95" s="12"/>
      <c r="S95" s="12"/>
      <c r="T95" s="12"/>
      <c r="U95" s="12"/>
      <c r="V95" s="12"/>
      <c r="W95" s="12"/>
      <c r="X95" s="12"/>
      <c r="Y95" s="12"/>
      <c r="Z95" s="12"/>
      <c r="AA95" s="12"/>
      <c r="AB95" s="12"/>
      <c r="AC95" s="12"/>
      <c r="AD95" s="12"/>
      <c r="AE95" s="12"/>
      <c r="AF95" s="12"/>
      <c r="AG95" s="12"/>
      <c r="AH95" s="12"/>
      <c r="AI95" s="12"/>
      <c r="AJ95" s="12"/>
      <c r="AK95" s="12"/>
      <c r="AL95" s="12"/>
      <c r="AM95" s="149"/>
    </row>
    <row r="96" spans="1:39" ht="16.25" customHeight="1" x14ac:dyDescent="0.35">
      <c r="B96" s="136"/>
      <c r="C96" s="136"/>
      <c r="D96" s="12"/>
      <c r="E96" s="12"/>
      <c r="F96" s="12"/>
      <c r="G96" s="12"/>
      <c r="H96" s="12"/>
      <c r="I96" s="12"/>
      <c r="J96" s="143"/>
      <c r="K96" s="143"/>
      <c r="M96" s="148"/>
      <c r="N96" s="12"/>
      <c r="O96" s="12"/>
      <c r="P96" s="12"/>
      <c r="Q96" s="12"/>
      <c r="R96" s="12"/>
      <c r="S96" s="12"/>
      <c r="T96" s="12"/>
      <c r="U96" s="12"/>
      <c r="V96" s="12"/>
      <c r="W96" s="12"/>
      <c r="X96" s="12"/>
      <c r="Y96" s="12"/>
      <c r="Z96" s="12"/>
      <c r="AA96" s="12"/>
      <c r="AB96" s="12"/>
      <c r="AC96" s="12"/>
      <c r="AD96" s="12"/>
      <c r="AE96" s="12"/>
      <c r="AF96" s="12"/>
      <c r="AG96" s="12"/>
      <c r="AH96" s="12"/>
      <c r="AI96" s="12"/>
      <c r="AJ96" s="12"/>
      <c r="AK96" s="12"/>
      <c r="AL96" s="12"/>
      <c r="AM96" s="149"/>
    </row>
    <row r="97" spans="2:39" ht="16.75" customHeight="1" x14ac:dyDescent="0.35">
      <c r="B97" s="136"/>
      <c r="C97" s="221" t="s">
        <v>44</v>
      </c>
      <c r="D97" s="210" t="s">
        <v>140</v>
      </c>
      <c r="E97" s="12"/>
      <c r="F97" s="12"/>
      <c r="G97" s="12"/>
      <c r="H97" s="12"/>
      <c r="I97" s="12"/>
      <c r="J97" s="143"/>
      <c r="K97" s="143"/>
      <c r="M97" s="148"/>
      <c r="N97" s="12"/>
      <c r="O97" s="12"/>
      <c r="P97" s="12"/>
      <c r="Q97" s="12"/>
      <c r="R97" s="12"/>
      <c r="S97" s="12"/>
      <c r="T97" s="12"/>
      <c r="U97" s="12"/>
      <c r="V97" s="12"/>
      <c r="W97" s="12"/>
      <c r="X97" s="12"/>
      <c r="Y97" s="12"/>
      <c r="Z97" s="12"/>
      <c r="AA97" s="12"/>
      <c r="AB97" s="12"/>
      <c r="AC97" s="12"/>
      <c r="AD97" s="12"/>
      <c r="AE97" s="12"/>
      <c r="AF97" s="12"/>
      <c r="AG97" s="12"/>
      <c r="AH97" s="12"/>
      <c r="AI97" s="12"/>
      <c r="AJ97" s="12"/>
      <c r="AK97" s="12"/>
      <c r="AL97" s="12"/>
      <c r="AM97" s="149"/>
    </row>
    <row r="98" spans="2:39" ht="24" customHeight="1" x14ac:dyDescent="0.6">
      <c r="B98" s="136"/>
      <c r="C98" s="139" t="s">
        <v>4</v>
      </c>
      <c r="D98" s="244">
        <v>57.352221516978702</v>
      </c>
      <c r="E98" s="225" t="s">
        <v>404</v>
      </c>
      <c r="F98" s="35"/>
      <c r="G98" s="135" t="s">
        <v>4</v>
      </c>
      <c r="H98" s="35"/>
      <c r="I98" s="35"/>
      <c r="J98" s="188"/>
      <c r="K98" s="143"/>
      <c r="M98" s="469" t="s">
        <v>347</v>
      </c>
      <c r="N98" s="470"/>
      <c r="O98" s="470"/>
      <c r="P98" s="470"/>
      <c r="Q98" s="470"/>
      <c r="R98" s="470"/>
      <c r="S98" s="470"/>
      <c r="T98" s="470"/>
      <c r="U98" s="470"/>
      <c r="V98" s="470"/>
      <c r="W98" s="470"/>
      <c r="X98" s="470"/>
      <c r="Y98" s="470"/>
      <c r="Z98" s="470"/>
      <c r="AA98" s="470"/>
      <c r="AB98" s="470"/>
      <c r="AC98" s="470"/>
      <c r="AD98" s="470"/>
      <c r="AE98" s="470"/>
      <c r="AF98" s="470"/>
      <c r="AG98" s="470"/>
      <c r="AH98" s="470"/>
      <c r="AI98" s="470"/>
      <c r="AJ98" s="470"/>
      <c r="AK98" s="470"/>
      <c r="AL98" s="470"/>
      <c r="AM98" s="471"/>
    </row>
    <row r="99" spans="2:39" ht="25.25" customHeight="1" thickBot="1" x14ac:dyDescent="0.5">
      <c r="B99" s="136"/>
      <c r="C99" s="147"/>
      <c r="D99" s="146"/>
      <c r="E99" s="146"/>
      <c r="F99" s="146"/>
      <c r="G99" s="224" t="s">
        <v>486</v>
      </c>
      <c r="H99" s="146"/>
      <c r="I99" s="146"/>
      <c r="J99" s="144"/>
      <c r="K99" s="143"/>
      <c r="M99" s="148"/>
      <c r="N99" s="12"/>
      <c r="O99" s="12"/>
      <c r="P99" s="12"/>
      <c r="Q99" s="12"/>
      <c r="R99" s="12"/>
      <c r="S99" s="12"/>
      <c r="T99" s="12"/>
      <c r="U99" s="12"/>
      <c r="V99" s="12"/>
      <c r="W99" s="12"/>
      <c r="X99" s="12"/>
      <c r="Y99" s="12"/>
      <c r="Z99" s="12"/>
      <c r="AA99" s="12"/>
      <c r="AB99" s="12"/>
      <c r="AC99" s="12"/>
      <c r="AD99" s="12"/>
      <c r="AE99" s="12"/>
      <c r="AF99" s="12"/>
      <c r="AG99" s="12"/>
      <c r="AH99" s="12"/>
      <c r="AI99" s="12"/>
      <c r="AJ99" s="12"/>
      <c r="AK99" s="12"/>
      <c r="AL99" s="12"/>
      <c r="AM99" s="149"/>
    </row>
    <row r="100" spans="2:39" ht="16" thickBot="1" x14ac:dyDescent="0.4">
      <c r="B100" s="136"/>
      <c r="C100" s="12"/>
      <c r="D100" s="12"/>
      <c r="E100" s="12"/>
      <c r="F100" s="12"/>
      <c r="G100" s="12"/>
      <c r="H100" s="12"/>
      <c r="I100" s="12"/>
      <c r="J100" s="12"/>
      <c r="K100" s="143"/>
      <c r="M100" s="148"/>
      <c r="N100" s="110"/>
      <c r="O100" s="12"/>
      <c r="P100" s="12"/>
      <c r="Q100" s="12"/>
      <c r="R100" s="12"/>
      <c r="S100" s="12"/>
      <c r="T100" s="12"/>
      <c r="U100" s="12"/>
      <c r="V100" s="12"/>
      <c r="W100" s="12"/>
      <c r="X100" s="12"/>
      <c r="Y100" s="12"/>
      <c r="Z100" s="12"/>
      <c r="AA100" s="12"/>
      <c r="AB100" s="12"/>
      <c r="AC100" s="12"/>
      <c r="AD100" s="12"/>
      <c r="AE100" s="12"/>
      <c r="AF100" s="12"/>
      <c r="AG100" s="12"/>
      <c r="AH100" s="12"/>
      <c r="AI100" s="12"/>
      <c r="AJ100" s="12"/>
      <c r="AK100" s="12"/>
      <c r="AL100" s="12"/>
      <c r="AM100" s="149"/>
    </row>
    <row r="101" spans="2:39" ht="15.5" customHeight="1" x14ac:dyDescent="0.35">
      <c r="B101" s="136"/>
      <c r="C101" s="218" t="s">
        <v>346</v>
      </c>
      <c r="D101" s="219" t="s">
        <v>52</v>
      </c>
      <c r="E101" s="145"/>
      <c r="F101" s="219"/>
      <c r="G101" s="219"/>
      <c r="H101" s="219"/>
      <c r="I101" s="219"/>
      <c r="J101" s="220"/>
      <c r="K101" s="143"/>
      <c r="M101" s="148"/>
      <c r="N101" s="12"/>
      <c r="O101" s="12"/>
      <c r="P101" s="12"/>
      <c r="Q101" s="12"/>
      <c r="R101" s="12"/>
      <c r="S101" s="12"/>
      <c r="T101" s="12"/>
      <c r="U101" s="12"/>
      <c r="V101" s="12"/>
      <c r="W101" s="12"/>
      <c r="X101" s="12"/>
      <c r="Y101" s="12"/>
      <c r="Z101" s="12"/>
      <c r="AA101" s="12"/>
      <c r="AB101" s="12"/>
      <c r="AC101" s="12"/>
      <c r="AD101" s="12"/>
      <c r="AE101" s="12"/>
      <c r="AF101" s="12"/>
      <c r="AG101" s="12"/>
      <c r="AH101" s="12"/>
      <c r="AI101" s="12"/>
      <c r="AJ101" s="12"/>
      <c r="AK101" s="12"/>
      <c r="AL101" s="12"/>
      <c r="AM101" s="149"/>
    </row>
    <row r="102" spans="2:39" ht="15.5" x14ac:dyDescent="0.35">
      <c r="B102" s="136"/>
      <c r="C102" s="221" t="s">
        <v>44</v>
      </c>
      <c r="D102" s="210" t="s">
        <v>51</v>
      </c>
      <c r="E102" s="110"/>
      <c r="F102" s="12"/>
      <c r="G102" s="110"/>
      <c r="H102" s="110"/>
      <c r="I102" s="110"/>
      <c r="J102" s="137"/>
      <c r="K102" s="143"/>
      <c r="M102" s="148"/>
      <c r="N102" s="12"/>
      <c r="O102" s="12"/>
      <c r="P102" s="12"/>
      <c r="Q102" s="12"/>
      <c r="R102" s="12"/>
      <c r="S102" s="12"/>
      <c r="T102" s="12"/>
      <c r="U102" s="12"/>
      <c r="V102" s="12"/>
      <c r="W102" s="12"/>
      <c r="X102" s="12"/>
      <c r="Y102" s="12"/>
      <c r="Z102" s="12"/>
      <c r="AA102" s="12"/>
      <c r="AB102" s="12"/>
      <c r="AC102" s="12"/>
      <c r="AD102" s="12"/>
      <c r="AE102" s="12"/>
      <c r="AF102" s="12"/>
      <c r="AG102" s="12"/>
      <c r="AH102" s="12"/>
      <c r="AI102" s="12"/>
      <c r="AJ102" s="12"/>
      <c r="AK102" s="12"/>
      <c r="AL102" s="12"/>
      <c r="AM102" s="149"/>
    </row>
    <row r="103" spans="2:39" ht="15.5" hidden="1" x14ac:dyDescent="0.35">
      <c r="B103" s="136"/>
      <c r="C103" s="209"/>
      <c r="D103" s="12"/>
      <c r="E103" s="110"/>
      <c r="F103" s="12"/>
      <c r="H103" s="110"/>
      <c r="I103" s="110"/>
      <c r="J103" s="137"/>
      <c r="K103" s="143"/>
      <c r="M103" s="148"/>
      <c r="N103" s="12"/>
      <c r="O103" s="12"/>
      <c r="P103" s="12"/>
      <c r="Q103" s="12"/>
      <c r="R103" s="12"/>
      <c r="S103" s="12"/>
      <c r="T103" s="12"/>
      <c r="U103" s="12"/>
      <c r="V103" s="12"/>
      <c r="W103" s="12"/>
      <c r="X103" s="12"/>
      <c r="Y103" s="12"/>
      <c r="Z103" s="12"/>
      <c r="AA103" s="12"/>
      <c r="AB103" s="12"/>
      <c r="AC103" s="12"/>
      <c r="AD103" s="12"/>
      <c r="AE103" s="12"/>
      <c r="AF103" s="12"/>
      <c r="AG103" s="12"/>
      <c r="AH103" s="12"/>
      <c r="AI103" s="12"/>
      <c r="AJ103" s="12"/>
      <c r="AK103" s="12"/>
      <c r="AL103" s="12"/>
      <c r="AM103" s="149"/>
    </row>
    <row r="104" spans="2:39" ht="15.5" x14ac:dyDescent="0.35">
      <c r="B104" s="136"/>
      <c r="C104" s="250" t="s">
        <v>400</v>
      </c>
      <c r="D104" s="252">
        <v>21.32</v>
      </c>
      <c r="E104" s="246" t="s">
        <v>402</v>
      </c>
      <c r="F104" s="4"/>
      <c r="G104" s="247" t="s">
        <v>4</v>
      </c>
      <c r="H104" s="4"/>
      <c r="I104" s="4"/>
      <c r="J104" s="184"/>
      <c r="K104" s="143"/>
      <c r="M104" s="148"/>
      <c r="N104" s="12"/>
      <c r="O104" s="12"/>
      <c r="P104" s="12"/>
      <c r="Q104" s="12"/>
      <c r="R104" s="12"/>
      <c r="S104" s="12"/>
      <c r="T104" s="12"/>
      <c r="U104" s="12"/>
      <c r="V104" s="12"/>
      <c r="W104" s="12"/>
      <c r="X104" s="12"/>
      <c r="Y104" s="12"/>
      <c r="Z104" s="12"/>
      <c r="AA104" s="12"/>
      <c r="AB104" s="12"/>
      <c r="AC104" s="12"/>
      <c r="AD104" s="12"/>
      <c r="AE104" s="12"/>
      <c r="AF104" s="12"/>
      <c r="AG104" s="12"/>
      <c r="AH104" s="12"/>
      <c r="AI104" s="12"/>
      <c r="AJ104" s="12"/>
      <c r="AK104" s="12"/>
      <c r="AL104" s="12"/>
      <c r="AM104" s="149"/>
    </row>
    <row r="105" spans="2:39" ht="15.5" x14ac:dyDescent="0.35">
      <c r="B105" s="136"/>
      <c r="C105" s="251" t="s">
        <v>401</v>
      </c>
      <c r="D105" s="253">
        <v>0.33500000000000002</v>
      </c>
      <c r="E105" s="248" t="s">
        <v>402</v>
      </c>
      <c r="F105" s="7"/>
      <c r="G105" s="249"/>
      <c r="H105" s="7"/>
      <c r="I105" s="7"/>
      <c r="J105" s="186"/>
      <c r="K105" s="143"/>
      <c r="M105" s="148"/>
      <c r="N105" s="12"/>
      <c r="O105" s="12"/>
      <c r="P105" s="12"/>
      <c r="Q105" s="12"/>
      <c r="R105" s="12"/>
      <c r="S105" s="12"/>
      <c r="T105" s="12"/>
      <c r="U105" s="12"/>
      <c r="V105" s="12"/>
      <c r="W105" s="12"/>
      <c r="X105" s="12"/>
      <c r="Y105" s="12"/>
      <c r="Z105" s="12"/>
      <c r="AA105" s="12"/>
      <c r="AB105" s="12"/>
      <c r="AC105" s="12"/>
      <c r="AD105" s="12"/>
      <c r="AE105" s="12"/>
      <c r="AF105" s="12"/>
      <c r="AG105" s="12"/>
      <c r="AH105" s="12"/>
      <c r="AI105" s="12"/>
      <c r="AJ105" s="12"/>
      <c r="AK105" s="12"/>
      <c r="AL105" s="12"/>
      <c r="AM105" s="149"/>
    </row>
    <row r="106" spans="2:39" ht="24" customHeight="1" x14ac:dyDescent="0.45">
      <c r="B106" s="136"/>
      <c r="C106" s="136"/>
      <c r="D106" s="12"/>
      <c r="E106" s="12"/>
      <c r="F106" s="12"/>
      <c r="G106" s="239" t="s">
        <v>486</v>
      </c>
      <c r="H106" s="12"/>
      <c r="I106" s="12"/>
      <c r="J106" s="143"/>
      <c r="K106" s="143"/>
      <c r="M106" s="148"/>
      <c r="N106" s="12"/>
      <c r="O106" s="12"/>
      <c r="P106" s="12"/>
      <c r="Q106" s="12"/>
      <c r="R106" s="12"/>
      <c r="S106" s="12"/>
      <c r="T106" s="12"/>
      <c r="U106" s="12"/>
      <c r="V106" s="12"/>
      <c r="W106" s="12"/>
      <c r="X106" s="12"/>
      <c r="Y106" s="12"/>
      <c r="Z106" s="12"/>
      <c r="AA106" s="12"/>
      <c r="AB106" s="12"/>
      <c r="AC106" s="12"/>
      <c r="AD106" s="12"/>
      <c r="AE106" s="12"/>
      <c r="AF106" s="12"/>
      <c r="AG106" s="12"/>
      <c r="AH106" s="12"/>
      <c r="AI106" s="12"/>
      <c r="AJ106" s="12"/>
      <c r="AK106" s="12"/>
      <c r="AL106" s="12"/>
      <c r="AM106" s="149"/>
    </row>
    <row r="107" spans="2:39" x14ac:dyDescent="0.35">
      <c r="B107" s="136"/>
      <c r="C107" s="136"/>
      <c r="D107" s="12"/>
      <c r="E107" s="12"/>
      <c r="F107" s="12"/>
      <c r="G107" s="12"/>
      <c r="H107" s="12"/>
      <c r="I107" s="12"/>
      <c r="J107" s="143"/>
      <c r="K107" s="143"/>
      <c r="M107" s="148"/>
      <c r="Q107" s="12"/>
      <c r="R107" s="12"/>
      <c r="S107" s="12"/>
      <c r="T107" s="12"/>
      <c r="U107" s="12"/>
      <c r="V107" s="12"/>
      <c r="W107" s="12"/>
      <c r="X107" s="12"/>
      <c r="Y107" s="12"/>
      <c r="Z107" s="12"/>
      <c r="AA107" s="12"/>
      <c r="AB107" s="12"/>
      <c r="AC107" s="12"/>
      <c r="AD107" s="12"/>
      <c r="AE107" s="12"/>
      <c r="AF107" s="12"/>
      <c r="AG107" s="12"/>
      <c r="AH107" s="12"/>
      <c r="AI107" s="12"/>
      <c r="AJ107" s="12"/>
      <c r="AK107" s="12"/>
      <c r="AL107" s="12"/>
      <c r="AM107" s="149"/>
    </row>
    <row r="108" spans="2:39" ht="15.5" x14ac:dyDescent="0.35">
      <c r="B108" s="136"/>
      <c r="C108" s="221" t="s">
        <v>44</v>
      </c>
      <c r="D108" s="210" t="s">
        <v>53</v>
      </c>
      <c r="E108" s="12"/>
      <c r="F108" s="12"/>
      <c r="G108" s="12"/>
      <c r="H108" s="12"/>
      <c r="I108" s="12"/>
      <c r="J108" s="143"/>
      <c r="K108" s="143"/>
      <c r="M108" s="148"/>
      <c r="N108" s="12"/>
      <c r="O108" s="12"/>
      <c r="P108" s="12"/>
      <c r="Q108" s="12"/>
      <c r="R108" s="12"/>
      <c r="S108" s="12"/>
      <c r="T108" s="12"/>
      <c r="U108" s="12"/>
      <c r="V108" s="12"/>
      <c r="W108" s="12"/>
      <c r="X108" s="12"/>
      <c r="Y108" s="12"/>
      <c r="Z108" s="12"/>
      <c r="AA108" s="12"/>
      <c r="AB108" s="12"/>
      <c r="AC108" s="12"/>
      <c r="AD108" s="12"/>
      <c r="AE108" s="12"/>
      <c r="AF108" s="12"/>
      <c r="AG108" s="12"/>
      <c r="AH108" s="12"/>
      <c r="AI108" s="12"/>
      <c r="AJ108" s="12"/>
      <c r="AK108" s="12"/>
      <c r="AL108" s="12"/>
      <c r="AM108" s="149"/>
    </row>
    <row r="109" spans="2:39" ht="15.5" x14ac:dyDescent="0.35">
      <c r="B109" s="136"/>
      <c r="C109" s="250" t="s">
        <v>400</v>
      </c>
      <c r="D109" s="252">
        <v>7.7489999999999997</v>
      </c>
      <c r="E109" s="246" t="s">
        <v>403</v>
      </c>
      <c r="F109" s="4"/>
      <c r="G109" s="247" t="s">
        <v>4</v>
      </c>
      <c r="H109" s="4"/>
      <c r="I109" s="4"/>
      <c r="J109" s="184"/>
      <c r="K109" s="143"/>
      <c r="M109" s="148"/>
      <c r="N109" s="12"/>
      <c r="O109" s="12"/>
      <c r="P109" s="12"/>
      <c r="Q109" s="12"/>
      <c r="R109" s="12"/>
      <c r="S109" s="12"/>
      <c r="T109" s="12"/>
      <c r="U109" s="12"/>
      <c r="V109" s="12"/>
      <c r="W109" s="12"/>
      <c r="X109" s="12"/>
      <c r="Y109" s="12"/>
      <c r="Z109" s="12"/>
      <c r="AA109" s="12"/>
      <c r="AB109" s="12"/>
      <c r="AC109" s="12"/>
      <c r="AD109" s="12"/>
      <c r="AE109" s="12"/>
      <c r="AF109" s="12"/>
      <c r="AG109" s="12"/>
      <c r="AH109" s="12"/>
      <c r="AI109" s="12"/>
      <c r="AJ109" s="12"/>
      <c r="AK109" s="12"/>
      <c r="AL109" s="12"/>
      <c r="AM109" s="149"/>
    </row>
    <row r="110" spans="2:39" ht="15.5" x14ac:dyDescent="0.35">
      <c r="B110" s="136"/>
      <c r="C110" s="251" t="s">
        <v>401</v>
      </c>
      <c r="D110" s="253">
        <v>1.2709999999999999</v>
      </c>
      <c r="E110" s="248" t="s">
        <v>403</v>
      </c>
      <c r="F110" s="7"/>
      <c r="G110" s="249"/>
      <c r="H110" s="7"/>
      <c r="I110" s="7"/>
      <c r="J110" s="186"/>
      <c r="K110" s="143"/>
      <c r="M110" s="148"/>
      <c r="N110" s="12"/>
      <c r="O110" s="12"/>
      <c r="P110" s="12"/>
      <c r="Q110" s="12"/>
      <c r="R110" s="12"/>
      <c r="S110" s="12"/>
      <c r="T110" s="12"/>
      <c r="U110" s="12"/>
      <c r="V110" s="12"/>
      <c r="W110" s="12"/>
      <c r="X110" s="12"/>
      <c r="Y110" s="12"/>
      <c r="Z110" s="12"/>
      <c r="AA110" s="12"/>
      <c r="AB110" s="12"/>
      <c r="AC110" s="12"/>
      <c r="AD110" s="12"/>
      <c r="AE110" s="12"/>
      <c r="AF110" s="12"/>
      <c r="AG110" s="12"/>
      <c r="AH110" s="12"/>
      <c r="AI110" s="12"/>
      <c r="AJ110" s="12"/>
      <c r="AK110" s="12"/>
      <c r="AL110" s="12"/>
      <c r="AM110" s="149"/>
    </row>
    <row r="111" spans="2:39" ht="24.65" customHeight="1" x14ac:dyDescent="0.45">
      <c r="B111" s="136"/>
      <c r="C111" s="136"/>
      <c r="D111" s="12"/>
      <c r="E111" s="12"/>
      <c r="F111" s="12"/>
      <c r="G111" s="239" t="s">
        <v>486</v>
      </c>
      <c r="H111" s="12"/>
      <c r="I111" s="12"/>
      <c r="J111" s="143"/>
      <c r="K111" s="143"/>
      <c r="M111" s="148"/>
      <c r="N111" s="12"/>
      <c r="O111" s="12"/>
      <c r="P111" s="12"/>
      <c r="Q111" s="12"/>
      <c r="R111" s="12"/>
      <c r="S111" s="12"/>
      <c r="T111" s="12"/>
      <c r="U111" s="12"/>
      <c r="V111" s="12"/>
      <c r="W111" s="12"/>
      <c r="X111" s="12"/>
      <c r="Y111" s="12"/>
      <c r="Z111" s="12"/>
      <c r="AA111" s="12"/>
      <c r="AB111" s="12"/>
      <c r="AC111" s="12"/>
      <c r="AD111" s="12"/>
      <c r="AE111" s="12"/>
      <c r="AF111" s="12"/>
      <c r="AG111" s="12"/>
      <c r="AH111" s="12"/>
      <c r="AI111" s="12"/>
      <c r="AJ111" s="12"/>
      <c r="AK111" s="12"/>
      <c r="AL111" s="12"/>
      <c r="AM111" s="149"/>
    </row>
    <row r="112" spans="2:39" x14ac:dyDescent="0.35">
      <c r="B112" s="136"/>
      <c r="C112" s="136"/>
      <c r="D112" s="12"/>
      <c r="E112" s="12"/>
      <c r="F112" s="12"/>
      <c r="G112" s="12"/>
      <c r="H112" s="12"/>
      <c r="I112" s="12"/>
      <c r="J112" s="143"/>
      <c r="K112" s="143"/>
      <c r="M112" s="148"/>
      <c r="N112" s="12"/>
      <c r="O112" s="12"/>
      <c r="P112" s="12"/>
      <c r="Q112" s="12"/>
      <c r="R112" s="12"/>
      <c r="S112" s="12"/>
      <c r="T112" s="12"/>
      <c r="U112" s="12"/>
      <c r="V112" s="12"/>
      <c r="W112" s="12"/>
      <c r="X112" s="12"/>
      <c r="Y112" s="12"/>
      <c r="Z112" s="12"/>
      <c r="AA112" s="12"/>
      <c r="AB112" s="12"/>
      <c r="AC112" s="12"/>
      <c r="AD112" s="12"/>
      <c r="AE112" s="12"/>
      <c r="AF112" s="12"/>
      <c r="AG112" s="12"/>
      <c r="AH112" s="12"/>
      <c r="AI112" s="12"/>
      <c r="AJ112" s="12"/>
      <c r="AK112" s="12"/>
      <c r="AL112" s="12"/>
      <c r="AM112" s="149"/>
    </row>
    <row r="113" spans="2:39" ht="15.5" x14ac:dyDescent="0.35">
      <c r="B113" s="136"/>
      <c r="C113" s="221" t="s">
        <v>44</v>
      </c>
      <c r="D113" s="210" t="s">
        <v>55</v>
      </c>
      <c r="E113" s="12"/>
      <c r="F113" s="12"/>
      <c r="G113" s="12"/>
      <c r="H113" s="12"/>
      <c r="I113" s="12"/>
      <c r="J113" s="143"/>
      <c r="K113" s="143"/>
      <c r="M113" s="148"/>
      <c r="N113" s="12"/>
      <c r="O113" s="12"/>
      <c r="P113" s="12"/>
      <c r="Q113" s="12"/>
      <c r="R113" s="12"/>
      <c r="S113" s="12"/>
      <c r="T113" s="12"/>
      <c r="U113" s="12"/>
      <c r="V113" s="12"/>
      <c r="W113" s="12"/>
      <c r="X113" s="12"/>
      <c r="Y113" s="12"/>
      <c r="Z113" s="12"/>
      <c r="AA113" s="12"/>
      <c r="AB113" s="12"/>
      <c r="AC113" s="12"/>
      <c r="AD113" s="12"/>
      <c r="AE113" s="12"/>
      <c r="AF113" s="12"/>
      <c r="AG113" s="12"/>
      <c r="AH113" s="12"/>
      <c r="AI113" s="12"/>
      <c r="AJ113" s="12"/>
      <c r="AK113" s="12"/>
      <c r="AL113" s="12"/>
      <c r="AM113" s="149"/>
    </row>
    <row r="114" spans="2:39" ht="22.75" customHeight="1" x14ac:dyDescent="0.35">
      <c r="B114" s="136"/>
      <c r="C114" s="245" t="s">
        <v>400</v>
      </c>
      <c r="D114" s="242">
        <v>24.218319999999999</v>
      </c>
      <c r="E114" s="225" t="s">
        <v>370</v>
      </c>
      <c r="F114" s="35"/>
      <c r="G114" s="135" t="s">
        <v>4</v>
      </c>
      <c r="H114" s="35"/>
      <c r="I114" s="35"/>
      <c r="J114" s="188"/>
      <c r="K114" s="143"/>
      <c r="M114" s="148"/>
      <c r="N114" s="12"/>
      <c r="O114" s="12"/>
      <c r="P114" s="12"/>
      <c r="Q114" s="12"/>
      <c r="R114" s="12"/>
      <c r="S114" s="12"/>
      <c r="T114" s="12"/>
      <c r="U114" s="12"/>
      <c r="V114" s="12"/>
      <c r="W114" s="12"/>
      <c r="X114" s="12"/>
      <c r="Y114" s="12"/>
      <c r="Z114" s="12"/>
      <c r="AA114" s="12"/>
      <c r="AB114" s="12"/>
      <c r="AC114" s="12"/>
      <c r="AD114" s="12"/>
      <c r="AE114" s="12"/>
      <c r="AF114" s="12"/>
      <c r="AG114" s="12"/>
      <c r="AH114" s="12"/>
      <c r="AI114" s="12"/>
      <c r="AJ114" s="12"/>
      <c r="AK114" s="12"/>
      <c r="AL114" s="12"/>
      <c r="AM114" s="149"/>
    </row>
    <row r="115" spans="2:39" ht="24.65" customHeight="1" thickBot="1" x14ac:dyDescent="0.5">
      <c r="B115" s="136"/>
      <c r="C115" s="147"/>
      <c r="D115" s="146"/>
      <c r="E115" s="146"/>
      <c r="F115" s="146"/>
      <c r="G115" s="224" t="s">
        <v>486</v>
      </c>
      <c r="H115" s="146"/>
      <c r="I115" s="146"/>
      <c r="J115" s="144"/>
      <c r="K115" s="143"/>
      <c r="M115" s="148"/>
      <c r="N115" s="12"/>
      <c r="O115" s="12"/>
      <c r="P115" s="12"/>
      <c r="Q115" s="12"/>
      <c r="R115" s="12"/>
      <c r="S115" s="12"/>
      <c r="T115" s="12"/>
      <c r="U115" s="12"/>
      <c r="V115" s="12"/>
      <c r="W115" s="12"/>
      <c r="X115" s="12"/>
      <c r="Y115" s="12"/>
      <c r="Z115" s="12"/>
      <c r="AA115" s="12"/>
      <c r="AB115" s="12"/>
      <c r="AC115" s="12"/>
      <c r="AD115" s="12"/>
      <c r="AE115" s="12"/>
      <c r="AF115" s="12"/>
      <c r="AG115" s="12"/>
      <c r="AH115" s="12"/>
      <c r="AI115" s="12"/>
      <c r="AJ115" s="12"/>
      <c r="AK115" s="12"/>
      <c r="AL115" s="12"/>
      <c r="AM115" s="149"/>
    </row>
    <row r="116" spans="2:39" ht="15" thickBot="1" x14ac:dyDescent="0.4">
      <c r="B116" s="147"/>
      <c r="C116" s="146"/>
      <c r="D116" s="146"/>
      <c r="E116" s="146"/>
      <c r="F116" s="146"/>
      <c r="G116" s="146"/>
      <c r="H116" s="146"/>
      <c r="I116" s="146"/>
      <c r="J116" s="146"/>
      <c r="K116" s="144"/>
      <c r="M116" s="148"/>
      <c r="N116" s="12"/>
      <c r="O116" s="12"/>
      <c r="P116" s="12"/>
      <c r="Q116" s="12"/>
      <c r="R116" s="12"/>
      <c r="S116" s="12"/>
      <c r="T116" s="12"/>
      <c r="U116" s="12"/>
      <c r="V116" s="12"/>
      <c r="W116" s="12"/>
      <c r="X116" s="12"/>
      <c r="Y116" s="12"/>
      <c r="Z116" s="12"/>
      <c r="AA116" s="12"/>
      <c r="AB116" s="12"/>
      <c r="AC116" s="12"/>
      <c r="AD116" s="12"/>
      <c r="AE116" s="12"/>
      <c r="AF116" s="12"/>
      <c r="AG116" s="12"/>
      <c r="AH116" s="12"/>
      <c r="AI116" s="12"/>
      <c r="AJ116" s="12"/>
      <c r="AK116" s="12"/>
      <c r="AL116" s="12"/>
      <c r="AM116" s="149"/>
    </row>
    <row r="117" spans="2:39" hidden="1" x14ac:dyDescent="0.35">
      <c r="M117" s="148"/>
      <c r="N117" s="12"/>
      <c r="O117" s="12"/>
      <c r="P117" s="12"/>
      <c r="Q117" s="12"/>
      <c r="R117" s="12"/>
      <c r="S117" s="12"/>
      <c r="T117" s="12"/>
      <c r="U117" s="12"/>
      <c r="V117" s="12"/>
      <c r="W117" s="12"/>
      <c r="X117" s="12"/>
      <c r="Y117" s="12"/>
      <c r="Z117" s="12"/>
      <c r="AA117" s="12"/>
      <c r="AB117" s="12"/>
      <c r="AC117" s="12"/>
      <c r="AD117" s="12"/>
      <c r="AE117" s="12"/>
      <c r="AF117" s="12"/>
      <c r="AG117" s="12"/>
      <c r="AH117" s="12"/>
      <c r="AI117" s="12"/>
      <c r="AJ117" s="12"/>
      <c r="AK117" s="12"/>
      <c r="AL117" s="12"/>
      <c r="AM117" s="149"/>
    </row>
    <row r="118" spans="2:39" hidden="1" x14ac:dyDescent="0.35">
      <c r="M118" s="148"/>
      <c r="N118" s="12"/>
      <c r="O118" s="12"/>
      <c r="P118" s="12"/>
      <c r="Q118" s="12"/>
      <c r="R118" s="12"/>
      <c r="S118" s="12"/>
      <c r="T118" s="12"/>
      <c r="U118" s="12"/>
      <c r="V118" s="12"/>
      <c r="W118" s="12"/>
      <c r="X118" s="12"/>
      <c r="Y118" s="12"/>
      <c r="Z118" s="12"/>
      <c r="AA118" s="12"/>
      <c r="AB118" s="12"/>
      <c r="AC118" s="12"/>
      <c r="AD118" s="12"/>
      <c r="AE118" s="12"/>
      <c r="AF118" s="12"/>
      <c r="AG118" s="12"/>
      <c r="AH118" s="12"/>
      <c r="AI118" s="12"/>
      <c r="AJ118" s="12"/>
      <c r="AK118" s="12"/>
      <c r="AL118" s="12"/>
      <c r="AM118" s="149"/>
    </row>
    <row r="119" spans="2:39" ht="15" thickBot="1" x14ac:dyDescent="0.4">
      <c r="M119" s="148"/>
      <c r="N119" s="12"/>
      <c r="O119" s="12"/>
      <c r="P119" s="12"/>
      <c r="Q119" s="12"/>
      <c r="R119" s="12"/>
      <c r="S119" s="12"/>
      <c r="T119" s="12"/>
      <c r="U119" s="12"/>
      <c r="V119" s="12"/>
      <c r="W119" s="12"/>
      <c r="X119" s="12"/>
      <c r="Y119" s="12"/>
      <c r="Z119" s="12"/>
      <c r="AA119" s="12"/>
      <c r="AB119" s="12"/>
      <c r="AC119" s="12"/>
      <c r="AD119" s="12"/>
      <c r="AE119" s="12"/>
      <c r="AF119" s="12"/>
      <c r="AG119" s="12"/>
      <c r="AH119" s="12"/>
      <c r="AI119" s="12"/>
      <c r="AJ119" s="12"/>
      <c r="AK119" s="12"/>
      <c r="AL119" s="12"/>
      <c r="AM119" s="149"/>
    </row>
    <row r="120" spans="2:39" ht="20.5" x14ac:dyDescent="0.55000000000000004">
      <c r="B120" s="156" t="s">
        <v>476</v>
      </c>
      <c r="C120" s="235"/>
      <c r="D120" s="235"/>
      <c r="E120" s="235"/>
      <c r="F120" s="235"/>
      <c r="G120" s="235"/>
      <c r="H120" s="235"/>
      <c r="I120" s="235"/>
      <c r="J120" s="235"/>
      <c r="K120" s="236"/>
      <c r="M120" s="148"/>
      <c r="N120" s="12"/>
      <c r="O120" s="12"/>
      <c r="P120" s="12"/>
      <c r="Q120" s="12"/>
      <c r="R120" s="12"/>
      <c r="S120" s="12"/>
      <c r="T120" s="12"/>
      <c r="U120" s="12"/>
      <c r="V120" s="12"/>
      <c r="W120" s="12"/>
      <c r="X120" s="12"/>
      <c r="Y120" s="12"/>
      <c r="Z120" s="12"/>
      <c r="AA120" s="12"/>
      <c r="AB120" s="12"/>
      <c r="AC120" s="12"/>
      <c r="AD120" s="12"/>
      <c r="AE120" s="12"/>
      <c r="AF120" s="12"/>
      <c r="AG120" s="12"/>
      <c r="AH120" s="12"/>
      <c r="AI120" s="12"/>
      <c r="AJ120" s="12"/>
      <c r="AK120" s="12"/>
      <c r="AL120" s="12"/>
      <c r="AM120" s="149"/>
    </row>
    <row r="121" spans="2:39" x14ac:dyDescent="0.35">
      <c r="B121" s="136"/>
      <c r="C121" s="12"/>
      <c r="D121" s="12"/>
      <c r="E121" s="12"/>
      <c r="F121" s="12"/>
      <c r="G121" s="12"/>
      <c r="H121" s="12"/>
      <c r="I121" s="12"/>
      <c r="J121" s="12"/>
      <c r="K121" s="143"/>
      <c r="M121" s="148"/>
      <c r="N121" s="12"/>
      <c r="O121" s="12"/>
      <c r="P121" s="12"/>
      <c r="Q121" s="12"/>
      <c r="R121" s="12"/>
      <c r="S121" s="12"/>
      <c r="T121" s="12"/>
      <c r="U121" s="12"/>
      <c r="V121" s="12"/>
      <c r="W121" s="12"/>
      <c r="X121" s="12"/>
      <c r="Y121" s="12"/>
      <c r="Z121" s="12"/>
      <c r="AA121" s="12"/>
      <c r="AB121" s="12"/>
      <c r="AC121" s="12"/>
      <c r="AD121" s="12"/>
      <c r="AE121" s="12"/>
      <c r="AF121" s="12"/>
      <c r="AG121" s="12"/>
      <c r="AH121" s="12"/>
      <c r="AI121" s="12"/>
      <c r="AJ121" s="12"/>
      <c r="AK121" s="12"/>
      <c r="AL121" s="12"/>
      <c r="AM121" s="149"/>
    </row>
    <row r="122" spans="2:39" ht="19" customHeight="1" thickBot="1" x14ac:dyDescent="0.4">
      <c r="B122" s="136"/>
      <c r="C122" s="12"/>
      <c r="D122" s="12"/>
      <c r="E122" s="12"/>
      <c r="F122" s="12"/>
      <c r="G122" s="12"/>
      <c r="H122" s="12"/>
      <c r="I122" s="12"/>
      <c r="J122" s="12"/>
      <c r="K122" s="143"/>
      <c r="M122" s="148"/>
      <c r="N122" s="12"/>
      <c r="O122" s="12"/>
      <c r="P122" s="12"/>
      <c r="Q122" s="12"/>
      <c r="R122" s="12"/>
      <c r="S122" s="12"/>
      <c r="T122" s="12"/>
      <c r="U122" s="12"/>
      <c r="V122" s="12"/>
      <c r="W122" s="12"/>
      <c r="X122" s="12"/>
      <c r="Y122" s="12"/>
      <c r="Z122" s="12"/>
      <c r="AA122" s="12"/>
      <c r="AB122" s="12"/>
      <c r="AC122" s="12"/>
      <c r="AD122" s="12"/>
      <c r="AE122" s="12"/>
      <c r="AF122" s="12"/>
      <c r="AG122" s="12"/>
      <c r="AH122" s="12"/>
      <c r="AI122" s="12"/>
      <c r="AJ122" s="12"/>
      <c r="AK122" s="12"/>
      <c r="AL122" s="12"/>
      <c r="AM122" s="149"/>
    </row>
    <row r="123" spans="2:39" ht="15.5" x14ac:dyDescent="0.35">
      <c r="B123" s="136"/>
      <c r="C123" s="218" t="s">
        <v>346</v>
      </c>
      <c r="D123" s="219" t="s">
        <v>175</v>
      </c>
      <c r="E123" s="145"/>
      <c r="F123" s="219"/>
      <c r="G123" s="219"/>
      <c r="H123" s="219"/>
      <c r="I123" s="219"/>
      <c r="J123" s="220"/>
      <c r="K123" s="143"/>
      <c r="M123" s="148"/>
      <c r="N123" s="12"/>
      <c r="O123" s="12"/>
      <c r="P123" s="12"/>
      <c r="Q123" s="12"/>
      <c r="R123" s="12"/>
      <c r="S123" s="12"/>
      <c r="T123" s="12"/>
      <c r="U123" s="12"/>
      <c r="V123" s="12"/>
      <c r="W123" s="12"/>
      <c r="X123" s="12"/>
      <c r="Y123" s="12"/>
      <c r="Z123" s="12"/>
      <c r="AA123" s="12"/>
      <c r="AB123" s="12"/>
      <c r="AC123" s="12"/>
      <c r="AD123" s="12"/>
      <c r="AE123" s="12"/>
      <c r="AF123" s="12"/>
      <c r="AG123" s="12"/>
      <c r="AH123" s="12"/>
      <c r="AI123" s="12"/>
      <c r="AJ123" s="12"/>
      <c r="AK123" s="12"/>
      <c r="AL123" s="12"/>
      <c r="AM123" s="149"/>
    </row>
    <row r="124" spans="2:39" ht="15.5" x14ac:dyDescent="0.35">
      <c r="B124" s="136"/>
      <c r="C124" s="221" t="s">
        <v>44</v>
      </c>
      <c r="D124" s="210" t="s">
        <v>53</v>
      </c>
      <c r="E124" s="110"/>
      <c r="F124" s="12"/>
      <c r="G124" s="239" t="s">
        <v>0</v>
      </c>
      <c r="H124" s="110"/>
      <c r="I124" s="110"/>
      <c r="J124" s="137"/>
      <c r="K124" s="143"/>
      <c r="M124" s="148"/>
      <c r="N124" s="12"/>
      <c r="O124" s="12"/>
      <c r="P124" s="12"/>
      <c r="Q124" s="12"/>
      <c r="R124" s="12"/>
      <c r="S124" s="12"/>
      <c r="T124" s="12"/>
      <c r="U124" s="12"/>
      <c r="V124" s="12"/>
      <c r="W124" s="12"/>
      <c r="X124" s="12"/>
      <c r="Y124" s="12"/>
      <c r="Z124" s="12"/>
      <c r="AA124" s="12"/>
      <c r="AB124" s="12"/>
      <c r="AC124" s="12"/>
      <c r="AD124" s="12"/>
      <c r="AE124" s="12"/>
      <c r="AF124" s="12"/>
      <c r="AG124" s="12"/>
      <c r="AH124" s="12"/>
      <c r="AI124" s="12"/>
      <c r="AJ124" s="12"/>
      <c r="AK124" s="12"/>
      <c r="AL124" s="12"/>
      <c r="AM124" s="149"/>
    </row>
    <row r="125" spans="2:39" ht="22.75" customHeight="1" x14ac:dyDescent="0.35">
      <c r="B125" s="136"/>
      <c r="C125" s="139" t="s">
        <v>4</v>
      </c>
      <c r="D125" s="242">
        <v>0.20395214353312299</v>
      </c>
      <c r="E125" s="225" t="s">
        <v>403</v>
      </c>
      <c r="F125" s="35"/>
      <c r="G125" s="135" t="s">
        <v>4</v>
      </c>
      <c r="H125" s="35"/>
      <c r="I125" s="35"/>
      <c r="J125" s="188"/>
      <c r="K125" s="143"/>
      <c r="M125" s="148"/>
      <c r="N125" s="12"/>
      <c r="O125" s="12"/>
      <c r="P125" s="12"/>
      <c r="Q125" s="12"/>
      <c r="R125" s="12"/>
      <c r="S125" s="12"/>
      <c r="T125" s="12"/>
      <c r="U125" s="12"/>
      <c r="V125" s="12"/>
      <c r="W125" s="12"/>
      <c r="X125" s="12"/>
      <c r="Y125" s="12"/>
      <c r="Z125" s="12"/>
      <c r="AA125" s="12"/>
      <c r="AB125" s="12"/>
      <c r="AC125" s="12"/>
      <c r="AD125" s="12"/>
      <c r="AE125" s="12"/>
      <c r="AF125" s="12"/>
      <c r="AG125" s="12"/>
      <c r="AH125" s="12"/>
      <c r="AI125" s="12"/>
      <c r="AJ125" s="12"/>
      <c r="AK125" s="12"/>
      <c r="AL125" s="12"/>
      <c r="AM125" s="149"/>
    </row>
    <row r="126" spans="2:39" ht="22.75" customHeight="1" x14ac:dyDescent="0.35">
      <c r="B126" s="136"/>
      <c r="C126" s="245" t="s">
        <v>9</v>
      </c>
      <c r="D126" s="242">
        <v>4.6289031072555202</v>
      </c>
      <c r="E126" s="225" t="s">
        <v>403</v>
      </c>
      <c r="F126" s="35"/>
      <c r="G126" s="225" t="s">
        <v>9</v>
      </c>
      <c r="H126" s="35"/>
      <c r="I126" s="35"/>
      <c r="J126" s="188"/>
      <c r="K126" s="143"/>
      <c r="M126" s="148"/>
      <c r="N126" s="12"/>
      <c r="O126" s="12"/>
      <c r="P126" s="12"/>
      <c r="Q126" s="12"/>
      <c r="R126" s="12"/>
      <c r="S126" s="12"/>
      <c r="T126" s="12"/>
      <c r="U126" s="12"/>
      <c r="V126" s="12"/>
      <c r="W126" s="12"/>
      <c r="X126" s="12"/>
      <c r="Y126" s="12"/>
      <c r="Z126" s="12"/>
      <c r="AA126" s="12"/>
      <c r="AB126" s="12"/>
      <c r="AC126" s="12"/>
      <c r="AD126" s="12"/>
      <c r="AE126" s="12"/>
      <c r="AF126" s="12"/>
      <c r="AG126" s="12"/>
      <c r="AH126" s="12"/>
      <c r="AI126" s="12"/>
      <c r="AJ126" s="12"/>
      <c r="AK126" s="12"/>
      <c r="AL126" s="12"/>
      <c r="AM126" s="149"/>
    </row>
    <row r="127" spans="2:39" ht="15.5" x14ac:dyDescent="0.35">
      <c r="B127" s="136"/>
      <c r="C127" s="241" t="s">
        <v>166</v>
      </c>
      <c r="D127" s="243">
        <v>0.73107255520504699</v>
      </c>
      <c r="E127" s="12" t="s">
        <v>407</v>
      </c>
      <c r="F127" s="12"/>
      <c r="G127" s="12"/>
      <c r="H127" s="12"/>
      <c r="I127" s="12"/>
      <c r="J127" s="143"/>
      <c r="K127" s="143"/>
      <c r="M127" s="148"/>
      <c r="N127" s="12"/>
      <c r="O127" s="12"/>
      <c r="P127" s="12"/>
      <c r="Q127" s="12"/>
      <c r="R127" s="12"/>
      <c r="S127" s="12"/>
      <c r="T127" s="12"/>
      <c r="U127" s="12"/>
      <c r="V127" s="12"/>
      <c r="W127" s="12"/>
      <c r="X127" s="12"/>
      <c r="Y127" s="12"/>
      <c r="Z127" s="12"/>
      <c r="AA127" s="12"/>
      <c r="AB127" s="12"/>
      <c r="AC127" s="12"/>
      <c r="AD127" s="12"/>
      <c r="AE127" s="12"/>
      <c r="AF127" s="12"/>
      <c r="AG127" s="12"/>
      <c r="AH127" s="12"/>
      <c r="AI127" s="12"/>
      <c r="AJ127" s="12"/>
      <c r="AK127" s="12"/>
      <c r="AL127" s="12"/>
      <c r="AM127" s="149"/>
    </row>
    <row r="128" spans="2:39" ht="24" customHeight="1" thickBot="1" x14ac:dyDescent="0.5">
      <c r="B128" s="136"/>
      <c r="C128" s="147"/>
      <c r="D128" s="146"/>
      <c r="E128" s="146"/>
      <c r="F128" s="146"/>
      <c r="G128" s="224" t="s">
        <v>486</v>
      </c>
      <c r="H128" s="146"/>
      <c r="I128" s="146"/>
      <c r="J128" s="144"/>
      <c r="K128" s="143"/>
      <c r="M128" s="148"/>
      <c r="N128" s="12"/>
      <c r="O128" s="12"/>
      <c r="P128" s="12"/>
      <c r="Q128" s="12"/>
      <c r="R128" s="12"/>
      <c r="S128" s="12"/>
      <c r="T128" s="12"/>
      <c r="U128" s="12"/>
      <c r="V128" s="12"/>
      <c r="W128" s="12"/>
      <c r="X128" s="12"/>
      <c r="Y128" s="12"/>
      <c r="Z128" s="12"/>
      <c r="AA128" s="12"/>
      <c r="AB128" s="12"/>
      <c r="AC128" s="12"/>
      <c r="AD128" s="12"/>
      <c r="AE128" s="12"/>
      <c r="AF128" s="12"/>
      <c r="AG128" s="12"/>
      <c r="AH128" s="12"/>
      <c r="AI128" s="12"/>
      <c r="AJ128" s="12"/>
      <c r="AK128" s="12"/>
      <c r="AL128" s="12"/>
      <c r="AM128" s="149"/>
    </row>
    <row r="129" spans="2:39" ht="15" thickBot="1" x14ac:dyDescent="0.4">
      <c r="B129" s="136"/>
      <c r="C129" s="12"/>
      <c r="D129" s="12"/>
      <c r="E129" s="12"/>
      <c r="F129" s="12"/>
      <c r="G129" s="12"/>
      <c r="H129" s="12"/>
      <c r="I129" s="12"/>
      <c r="J129" s="12"/>
      <c r="K129" s="143"/>
      <c r="M129" s="148"/>
      <c r="N129" s="12"/>
      <c r="O129" s="12"/>
      <c r="P129" s="12"/>
      <c r="Q129" s="12"/>
      <c r="R129" s="12"/>
      <c r="S129" s="12"/>
      <c r="T129" s="12"/>
      <c r="U129" s="12"/>
      <c r="V129" s="12"/>
      <c r="W129" s="12"/>
      <c r="X129" s="12"/>
      <c r="Y129" s="12"/>
      <c r="Z129" s="12"/>
      <c r="AA129" s="12"/>
      <c r="AB129" s="12"/>
      <c r="AC129" s="12"/>
      <c r="AD129" s="12"/>
      <c r="AE129" s="12"/>
      <c r="AF129" s="12"/>
      <c r="AG129" s="12"/>
      <c r="AH129" s="12"/>
      <c r="AI129" s="12"/>
      <c r="AJ129" s="12"/>
      <c r="AK129" s="12"/>
      <c r="AL129" s="12"/>
      <c r="AM129" s="149"/>
    </row>
    <row r="130" spans="2:39" ht="17.5" x14ac:dyDescent="0.45">
      <c r="B130" s="136"/>
      <c r="C130" s="218" t="s">
        <v>346</v>
      </c>
      <c r="D130" s="219" t="s">
        <v>479</v>
      </c>
      <c r="E130" s="145"/>
      <c r="F130" s="219"/>
      <c r="G130" s="219"/>
      <c r="H130" s="219"/>
      <c r="I130" s="219"/>
      <c r="J130" s="220"/>
      <c r="K130" s="143"/>
      <c r="M130" s="148"/>
      <c r="N130" s="12"/>
      <c r="O130" s="12"/>
      <c r="P130" s="12"/>
      <c r="Q130" s="12"/>
      <c r="R130" s="12"/>
      <c r="S130" s="12"/>
      <c r="T130" s="12"/>
      <c r="U130" s="12"/>
      <c r="V130" s="12"/>
      <c r="W130" s="12"/>
      <c r="X130" s="12"/>
      <c r="Y130" s="12"/>
      <c r="Z130" s="12"/>
      <c r="AA130" s="12"/>
      <c r="AB130" s="12"/>
      <c r="AC130" s="12"/>
      <c r="AD130" s="12"/>
      <c r="AE130" s="12"/>
      <c r="AF130" s="12"/>
      <c r="AG130" s="12"/>
      <c r="AH130" s="12"/>
      <c r="AI130" s="12"/>
      <c r="AJ130" s="12"/>
      <c r="AK130" s="12"/>
      <c r="AL130" s="12"/>
      <c r="AM130" s="149"/>
    </row>
    <row r="131" spans="2:39" ht="15.5" x14ac:dyDescent="0.35">
      <c r="B131" s="136"/>
      <c r="C131" s="221" t="s">
        <v>44</v>
      </c>
      <c r="D131" s="210" t="s">
        <v>53</v>
      </c>
      <c r="E131" s="110"/>
      <c r="F131" s="12"/>
      <c r="G131" s="12"/>
      <c r="H131" s="110"/>
      <c r="I131" s="110"/>
      <c r="J131" s="137"/>
      <c r="K131" s="143"/>
      <c r="M131" s="148"/>
      <c r="N131" s="12"/>
      <c r="O131" s="12"/>
      <c r="P131" s="12"/>
      <c r="Q131" s="12"/>
      <c r="R131" s="12"/>
      <c r="S131" s="12"/>
      <c r="T131" s="12"/>
      <c r="U131" s="12"/>
      <c r="V131" s="12"/>
      <c r="W131" s="12"/>
      <c r="X131" s="12"/>
      <c r="Y131" s="12"/>
      <c r="Z131" s="12"/>
      <c r="AA131" s="12"/>
      <c r="AB131" s="12"/>
      <c r="AC131" s="12"/>
      <c r="AD131" s="12"/>
      <c r="AE131" s="12"/>
      <c r="AF131" s="12"/>
      <c r="AG131" s="12"/>
      <c r="AH131" s="12"/>
      <c r="AI131" s="12"/>
      <c r="AJ131" s="12"/>
      <c r="AK131" s="12"/>
      <c r="AL131" s="12"/>
      <c r="AM131" s="149"/>
    </row>
    <row r="132" spans="2:39" ht="25.5" customHeight="1" thickBot="1" x14ac:dyDescent="0.4">
      <c r="B132" s="136"/>
      <c r="C132" s="139" t="s">
        <v>4</v>
      </c>
      <c r="D132" s="242">
        <v>0.29102924605451902</v>
      </c>
      <c r="E132" s="225" t="s">
        <v>403</v>
      </c>
      <c r="F132" s="35"/>
      <c r="G132" s="135" t="s">
        <v>4</v>
      </c>
      <c r="H132" s="35"/>
      <c r="I132" s="35"/>
      <c r="J132" s="188"/>
      <c r="K132" s="143"/>
      <c r="M132" s="151"/>
      <c r="N132" s="152"/>
      <c r="O132" s="152"/>
      <c r="P132" s="152"/>
      <c r="Q132" s="152"/>
      <c r="R132" s="152"/>
      <c r="S132" s="152"/>
      <c r="T132" s="152"/>
      <c r="U132" s="152"/>
      <c r="V132" s="152"/>
      <c r="W132" s="152"/>
      <c r="X132" s="152"/>
      <c r="Y132" s="152"/>
      <c r="Z132" s="152"/>
      <c r="AA132" s="152"/>
      <c r="AB132" s="152"/>
      <c r="AC132" s="152"/>
      <c r="AD132" s="152"/>
      <c r="AE132" s="152"/>
      <c r="AF132" s="152"/>
      <c r="AG132" s="152"/>
      <c r="AH132" s="152"/>
      <c r="AI132" s="152"/>
      <c r="AJ132" s="152"/>
      <c r="AK132" s="152"/>
      <c r="AL132" s="152"/>
      <c r="AM132" s="153"/>
    </row>
    <row r="133" spans="2:39" ht="24.5" customHeight="1" x14ac:dyDescent="0.35">
      <c r="B133" s="136"/>
      <c r="C133" s="245" t="s">
        <v>9</v>
      </c>
      <c r="D133" s="242">
        <v>3.4313752941176499</v>
      </c>
      <c r="E133" s="225" t="s">
        <v>403</v>
      </c>
      <c r="F133" s="35"/>
      <c r="G133" s="225" t="s">
        <v>9</v>
      </c>
      <c r="H133" s="35"/>
      <c r="I133" s="35"/>
      <c r="J133" s="188"/>
      <c r="K133" s="143"/>
    </row>
    <row r="134" spans="2:39" ht="23.5" customHeight="1" x14ac:dyDescent="0.35">
      <c r="B134" s="136"/>
      <c r="C134" s="245" t="s">
        <v>405</v>
      </c>
      <c r="D134" s="242">
        <v>9.1104734576757496E-2</v>
      </c>
      <c r="E134" s="35" t="s">
        <v>406</v>
      </c>
      <c r="F134" s="35"/>
      <c r="G134" s="225" t="s">
        <v>12</v>
      </c>
      <c r="H134" s="35"/>
      <c r="I134" s="35"/>
      <c r="J134" s="188"/>
      <c r="K134" s="143"/>
    </row>
    <row r="135" spans="2:39" ht="15.5" x14ac:dyDescent="0.35">
      <c r="B135" s="136"/>
      <c r="C135" s="241" t="s">
        <v>166</v>
      </c>
      <c r="D135" s="243">
        <v>0.33249641319942602</v>
      </c>
      <c r="E135" s="257" t="s">
        <v>407</v>
      </c>
      <c r="F135" s="12"/>
      <c r="G135" s="12"/>
      <c r="H135" s="12"/>
      <c r="I135" s="12"/>
      <c r="J135" s="143"/>
      <c r="K135" s="143"/>
    </row>
    <row r="136" spans="2:39" ht="24" customHeight="1" thickBot="1" x14ac:dyDescent="0.5">
      <c r="B136" s="136"/>
      <c r="C136" s="147"/>
      <c r="D136" s="146"/>
      <c r="E136" s="146"/>
      <c r="F136" s="146"/>
      <c r="G136" s="224" t="s">
        <v>486</v>
      </c>
      <c r="H136" s="146"/>
      <c r="I136" s="146"/>
      <c r="J136" s="144"/>
      <c r="K136" s="143"/>
    </row>
    <row r="137" spans="2:39" ht="15" thickBot="1" x14ac:dyDescent="0.4">
      <c r="B137" s="147"/>
      <c r="C137" s="146"/>
      <c r="D137" s="146"/>
      <c r="E137" s="146"/>
      <c r="F137" s="146"/>
      <c r="G137" s="146"/>
      <c r="H137" s="146"/>
      <c r="I137" s="146"/>
      <c r="J137" s="146"/>
      <c r="K137" s="144"/>
    </row>
    <row r="138" spans="2:39" hidden="1" x14ac:dyDescent="0.35"/>
    <row r="139" spans="2:39" hidden="1" x14ac:dyDescent="0.35"/>
    <row r="140" spans="2:39" ht="15" thickBot="1" x14ac:dyDescent="0.4"/>
    <row r="141" spans="2:39" ht="20.5" x14ac:dyDescent="0.55000000000000004">
      <c r="B141" s="156" t="s">
        <v>477</v>
      </c>
      <c r="C141" s="235"/>
      <c r="D141" s="235"/>
      <c r="E141" s="235"/>
      <c r="F141" s="235"/>
      <c r="G141" s="235"/>
      <c r="H141" s="235"/>
      <c r="I141" s="235"/>
      <c r="J141" s="235"/>
      <c r="K141" s="236"/>
    </row>
    <row r="142" spans="2:39" ht="16.5" customHeight="1" x14ac:dyDescent="0.35">
      <c r="B142" s="136"/>
      <c r="C142" s="12"/>
      <c r="D142" s="12"/>
      <c r="E142" s="12"/>
      <c r="F142" s="12"/>
      <c r="G142" s="12"/>
      <c r="H142" s="12"/>
      <c r="I142" s="12"/>
      <c r="J142" s="12"/>
      <c r="K142" s="143"/>
    </row>
    <row r="143" spans="2:39" ht="17.5" customHeight="1" thickBot="1" x14ac:dyDescent="0.4">
      <c r="B143" s="136"/>
      <c r="C143" s="12"/>
      <c r="D143" s="12"/>
      <c r="E143" s="12"/>
      <c r="F143" s="12"/>
      <c r="G143" s="12"/>
      <c r="H143" s="12"/>
      <c r="I143" s="12"/>
      <c r="J143" s="12"/>
      <c r="K143" s="143"/>
    </row>
    <row r="144" spans="2:39" ht="15.5" x14ac:dyDescent="0.35">
      <c r="B144" s="136"/>
      <c r="C144" s="218" t="s">
        <v>346</v>
      </c>
      <c r="D144" s="219" t="s">
        <v>198</v>
      </c>
      <c r="E144" s="145"/>
      <c r="F144" s="219"/>
      <c r="G144" s="219"/>
      <c r="H144" s="219"/>
      <c r="I144" s="219"/>
      <c r="J144" s="220"/>
      <c r="K144" s="143"/>
    </row>
    <row r="145" spans="2:11" ht="15.5" x14ac:dyDescent="0.35">
      <c r="B145" s="136"/>
      <c r="C145" s="221" t="s">
        <v>44</v>
      </c>
      <c r="D145" s="210" t="s">
        <v>51</v>
      </c>
      <c r="E145" s="110"/>
      <c r="F145" s="12"/>
      <c r="G145" s="110" t="s">
        <v>0</v>
      </c>
      <c r="H145" s="110"/>
      <c r="I145" s="110"/>
      <c r="J145" s="137"/>
      <c r="K145" s="143"/>
    </row>
    <row r="146" spans="2:11" ht="24.5" customHeight="1" x14ac:dyDescent="0.35">
      <c r="B146" s="136"/>
      <c r="C146" s="139" t="s">
        <v>4</v>
      </c>
      <c r="D146" s="242">
        <v>6.9041482796045502E-3</v>
      </c>
      <c r="E146" s="225" t="s">
        <v>402</v>
      </c>
      <c r="F146" s="35"/>
      <c r="G146" s="135" t="s">
        <v>4</v>
      </c>
      <c r="H146" s="35"/>
      <c r="I146" s="35"/>
      <c r="J146" s="188"/>
      <c r="K146" s="143"/>
    </row>
    <row r="147" spans="2:11" ht="15.5" x14ac:dyDescent="0.35">
      <c r="B147" s="136"/>
      <c r="C147" s="241" t="s">
        <v>115</v>
      </c>
      <c r="D147" s="414">
        <v>7.4171177881324001E-5</v>
      </c>
      <c r="E147" s="239" t="s">
        <v>408</v>
      </c>
      <c r="F147" s="12"/>
      <c r="G147" s="110"/>
      <c r="H147" s="12"/>
      <c r="I147" s="12"/>
      <c r="J147" s="143"/>
      <c r="K147" s="143"/>
    </row>
    <row r="148" spans="2:11" ht="25" customHeight="1" x14ac:dyDescent="0.45">
      <c r="B148" s="136"/>
      <c r="C148" s="136"/>
      <c r="D148" s="12"/>
      <c r="E148" s="12"/>
      <c r="F148" s="12"/>
      <c r="G148" s="239" t="s">
        <v>486</v>
      </c>
      <c r="H148" s="12"/>
      <c r="I148" s="12"/>
      <c r="J148" s="143"/>
      <c r="K148" s="143"/>
    </row>
    <row r="149" spans="2:11" x14ac:dyDescent="0.35">
      <c r="B149" s="136"/>
      <c r="C149" s="136"/>
      <c r="D149" s="12"/>
      <c r="E149" s="12"/>
      <c r="F149" s="12"/>
      <c r="G149" s="12"/>
      <c r="H149" s="12"/>
      <c r="I149" s="12"/>
      <c r="J149" s="143"/>
      <c r="K149" s="143"/>
    </row>
    <row r="150" spans="2:11" ht="15.5" x14ac:dyDescent="0.35">
      <c r="B150" s="136"/>
      <c r="C150" s="221" t="s">
        <v>44</v>
      </c>
      <c r="D150" s="210" t="s">
        <v>53</v>
      </c>
      <c r="E150" s="110"/>
      <c r="F150" s="12"/>
      <c r="G150" s="110"/>
      <c r="H150" s="110"/>
      <c r="I150" s="110"/>
      <c r="J150" s="137"/>
      <c r="K150" s="143"/>
    </row>
    <row r="151" spans="2:11" ht="24" customHeight="1" x14ac:dyDescent="0.35">
      <c r="B151" s="136"/>
      <c r="C151" s="139" t="s">
        <v>4</v>
      </c>
      <c r="D151" s="242">
        <v>3.1706378664199202E-3</v>
      </c>
      <c r="E151" s="225" t="s">
        <v>403</v>
      </c>
      <c r="F151" s="35"/>
      <c r="G151" s="135" t="s">
        <v>4</v>
      </c>
      <c r="H151" s="35"/>
      <c r="I151" s="35"/>
      <c r="J151" s="188"/>
      <c r="K151" s="143"/>
    </row>
    <row r="152" spans="2:11" ht="15.5" x14ac:dyDescent="0.35">
      <c r="B152" s="136"/>
      <c r="C152" s="241" t="s">
        <v>115</v>
      </c>
      <c r="D152" s="243">
        <v>0.133241370962251</v>
      </c>
      <c r="E152" s="239" t="s">
        <v>409</v>
      </c>
      <c r="F152" s="12"/>
      <c r="G152" s="110"/>
      <c r="H152" s="12"/>
      <c r="I152" s="12"/>
      <c r="J152" s="143"/>
      <c r="K152" s="143"/>
    </row>
    <row r="153" spans="2:11" ht="26" customHeight="1" thickBot="1" x14ac:dyDescent="0.5">
      <c r="B153" s="136"/>
      <c r="C153" s="147"/>
      <c r="D153" s="146"/>
      <c r="E153" s="146"/>
      <c r="F153" s="146"/>
      <c r="G153" s="224" t="s">
        <v>486</v>
      </c>
      <c r="H153" s="146"/>
      <c r="I153" s="146"/>
      <c r="J153" s="144"/>
      <c r="K153" s="143"/>
    </row>
    <row r="154" spans="2:11" ht="15" thickBot="1" x14ac:dyDescent="0.4">
      <c r="B154" s="147"/>
      <c r="C154" s="146"/>
      <c r="D154" s="146"/>
      <c r="E154" s="146"/>
      <c r="F154" s="146"/>
      <c r="G154" s="146"/>
      <c r="H154" s="146"/>
      <c r="I154" s="146"/>
      <c r="J154" s="146"/>
      <c r="K154" s="144"/>
    </row>
    <row r="155" spans="2:11" hidden="1" x14ac:dyDescent="0.35"/>
    <row r="156" spans="2:11" hidden="1" x14ac:dyDescent="0.35"/>
    <row r="157" spans="2:11" ht="15" thickBot="1" x14ac:dyDescent="0.4"/>
    <row r="158" spans="2:11" ht="20.5" x14ac:dyDescent="0.55000000000000004">
      <c r="B158" s="156" t="s">
        <v>478</v>
      </c>
      <c r="C158" s="235"/>
      <c r="D158" s="235"/>
      <c r="E158" s="235"/>
      <c r="F158" s="235"/>
      <c r="G158" s="235"/>
      <c r="H158" s="235"/>
      <c r="I158" s="235"/>
      <c r="J158" s="235"/>
      <c r="K158" s="236"/>
    </row>
    <row r="159" spans="2:11" x14ac:dyDescent="0.35">
      <c r="B159" s="136"/>
      <c r="C159" s="12"/>
      <c r="D159" s="12"/>
      <c r="E159" s="12"/>
      <c r="F159" s="12"/>
      <c r="G159" s="12"/>
      <c r="H159" s="12"/>
      <c r="I159" s="12"/>
      <c r="J159" s="12"/>
      <c r="K159" s="143"/>
    </row>
    <row r="160" spans="2:11" ht="19" customHeight="1" thickBot="1" x14ac:dyDescent="0.4">
      <c r="B160" s="136"/>
      <c r="C160" s="12"/>
      <c r="D160" s="12"/>
      <c r="E160" s="12"/>
      <c r="F160" s="12"/>
      <c r="G160" s="12"/>
      <c r="H160" s="12"/>
      <c r="I160" s="12"/>
      <c r="J160" s="12"/>
      <c r="K160" s="143"/>
    </row>
    <row r="161" spans="2:13" ht="17.5" x14ac:dyDescent="0.45">
      <c r="B161" s="136"/>
      <c r="C161" s="218" t="s">
        <v>346</v>
      </c>
      <c r="D161" s="219" t="s">
        <v>480</v>
      </c>
      <c r="E161" s="145"/>
      <c r="F161" s="219"/>
      <c r="G161" s="219"/>
      <c r="H161" s="219"/>
      <c r="I161" s="219"/>
      <c r="J161" s="220"/>
      <c r="K161" s="143"/>
    </row>
    <row r="162" spans="2:13" ht="15.5" x14ac:dyDescent="0.35">
      <c r="B162" s="136"/>
      <c r="C162" s="221" t="s">
        <v>44</v>
      </c>
      <c r="D162" s="210" t="s">
        <v>55</v>
      </c>
      <c r="E162" s="110"/>
      <c r="F162" s="12"/>
      <c r="G162" s="110" t="s">
        <v>0</v>
      </c>
      <c r="H162" s="110"/>
      <c r="I162" s="110"/>
      <c r="J162" s="137"/>
      <c r="K162" s="143"/>
      <c r="M162" s="42"/>
    </row>
    <row r="163" spans="2:13" ht="24.5" customHeight="1" x14ac:dyDescent="0.35">
      <c r="B163" s="136"/>
      <c r="C163" s="187" t="s">
        <v>410</v>
      </c>
      <c r="D163" s="242">
        <v>0.42837500000000001</v>
      </c>
      <c r="E163" s="35" t="s">
        <v>411</v>
      </c>
      <c r="F163" s="35"/>
      <c r="G163" s="35" t="s">
        <v>12</v>
      </c>
      <c r="H163" s="35"/>
      <c r="I163" s="35"/>
      <c r="J163" s="188"/>
      <c r="K163" s="143"/>
    </row>
    <row r="164" spans="2:13" ht="25" customHeight="1" x14ac:dyDescent="0.45">
      <c r="B164" s="136"/>
      <c r="C164" s="136"/>
      <c r="D164" s="12"/>
      <c r="E164" s="12"/>
      <c r="F164" s="12"/>
      <c r="G164" s="239" t="s">
        <v>486</v>
      </c>
      <c r="H164" s="12"/>
      <c r="I164" s="12"/>
      <c r="J164" s="143"/>
      <c r="K164" s="143"/>
    </row>
    <row r="165" spans="2:13" x14ac:dyDescent="0.35">
      <c r="B165" s="136"/>
      <c r="C165" s="136"/>
      <c r="D165" s="12"/>
      <c r="E165" s="12"/>
      <c r="F165" s="12"/>
      <c r="G165" s="12"/>
      <c r="H165" s="12"/>
      <c r="I165" s="12"/>
      <c r="J165" s="143"/>
      <c r="K165" s="143"/>
    </row>
    <row r="166" spans="2:13" ht="15.5" x14ac:dyDescent="0.35">
      <c r="B166" s="136"/>
      <c r="C166" s="221" t="s">
        <v>44</v>
      </c>
      <c r="D166" s="210" t="s">
        <v>51</v>
      </c>
      <c r="E166" s="110"/>
      <c r="F166" s="12"/>
      <c r="G166" s="110"/>
      <c r="H166" s="110"/>
      <c r="I166" s="110"/>
      <c r="J166" s="137"/>
      <c r="K166" s="143"/>
    </row>
    <row r="167" spans="2:13" ht="25" customHeight="1" x14ac:dyDescent="0.35">
      <c r="B167" s="136"/>
      <c r="C167" s="262" t="s">
        <v>4</v>
      </c>
      <c r="D167" s="242">
        <v>0.33500000000000002</v>
      </c>
      <c r="E167" s="225" t="s">
        <v>402</v>
      </c>
      <c r="F167" s="35"/>
      <c r="G167" s="225" t="s">
        <v>4</v>
      </c>
      <c r="H167" s="135"/>
      <c r="I167" s="135"/>
      <c r="J167" s="223"/>
      <c r="K167" s="143"/>
    </row>
    <row r="168" spans="2:13" ht="23.5" customHeight="1" x14ac:dyDescent="0.35">
      <c r="B168" s="136"/>
      <c r="C168" s="187" t="s">
        <v>410</v>
      </c>
      <c r="D168" s="242">
        <v>0.52</v>
      </c>
      <c r="E168" s="35" t="s">
        <v>412</v>
      </c>
      <c r="F168" s="35"/>
      <c r="G168" s="35" t="s">
        <v>12</v>
      </c>
      <c r="H168" s="35"/>
      <c r="I168" s="35"/>
      <c r="J168" s="188"/>
      <c r="K168" s="143"/>
    </row>
    <row r="169" spans="2:13" ht="26" customHeight="1" x14ac:dyDescent="0.45">
      <c r="B169" s="136"/>
      <c r="C169" s="136"/>
      <c r="D169" s="12"/>
      <c r="E169" s="12"/>
      <c r="F169" s="12"/>
      <c r="G169" s="239" t="s">
        <v>486</v>
      </c>
      <c r="H169" s="12"/>
      <c r="I169" s="12"/>
      <c r="J169" s="143"/>
      <c r="K169" s="143"/>
    </row>
    <row r="170" spans="2:13" x14ac:dyDescent="0.35">
      <c r="B170" s="136"/>
      <c r="C170" s="136"/>
      <c r="D170" s="12"/>
      <c r="E170" s="12"/>
      <c r="F170" s="12"/>
      <c r="G170" s="12"/>
      <c r="H170" s="12"/>
      <c r="I170" s="12"/>
      <c r="J170" s="143"/>
      <c r="K170" s="143"/>
    </row>
    <row r="171" spans="2:13" ht="15.5" x14ac:dyDescent="0.35">
      <c r="B171" s="136"/>
      <c r="C171" s="221" t="s">
        <v>44</v>
      </c>
      <c r="D171" s="210" t="s">
        <v>53</v>
      </c>
      <c r="E171" s="110"/>
      <c r="F171" s="12"/>
      <c r="G171" s="110"/>
      <c r="H171" s="110"/>
      <c r="I171" s="110"/>
      <c r="J171" s="137"/>
      <c r="K171" s="143"/>
    </row>
    <row r="172" spans="2:13" ht="25" customHeight="1" x14ac:dyDescent="0.35">
      <c r="B172" s="136"/>
      <c r="C172" s="262" t="s">
        <v>4</v>
      </c>
      <c r="D172" s="242">
        <v>0.16900000000000001</v>
      </c>
      <c r="E172" s="225" t="s">
        <v>402</v>
      </c>
      <c r="F172" s="35"/>
      <c r="G172" s="225" t="s">
        <v>4</v>
      </c>
      <c r="H172" s="135"/>
      <c r="I172" s="135"/>
      <c r="J172" s="223"/>
      <c r="K172" s="143"/>
    </row>
    <row r="173" spans="2:13" ht="25" customHeight="1" x14ac:dyDescent="0.35">
      <c r="B173" s="136"/>
      <c r="C173" s="262" t="s">
        <v>9</v>
      </c>
      <c r="D173" s="242">
        <v>0.439</v>
      </c>
      <c r="E173" s="225" t="s">
        <v>402</v>
      </c>
      <c r="F173" s="35"/>
      <c r="G173" s="225" t="s">
        <v>9</v>
      </c>
      <c r="H173" s="135"/>
      <c r="I173" s="135"/>
      <c r="J173" s="223"/>
      <c r="K173" s="143"/>
    </row>
    <row r="174" spans="2:13" ht="24.5" customHeight="1" x14ac:dyDescent="0.35">
      <c r="B174" s="136"/>
      <c r="C174" s="187" t="s">
        <v>410</v>
      </c>
      <c r="D174" s="242">
        <v>0.19900000000000001</v>
      </c>
      <c r="E174" s="35" t="s">
        <v>412</v>
      </c>
      <c r="F174" s="35"/>
      <c r="G174" s="35" t="s">
        <v>12</v>
      </c>
      <c r="H174" s="35"/>
      <c r="I174" s="35"/>
      <c r="J174" s="188"/>
      <c r="K174" s="143"/>
    </row>
    <row r="175" spans="2:13" ht="26" customHeight="1" thickBot="1" x14ac:dyDescent="0.5">
      <c r="B175" s="136"/>
      <c r="C175" s="147"/>
      <c r="D175" s="146"/>
      <c r="E175" s="146"/>
      <c r="F175" s="146"/>
      <c r="G175" s="224" t="s">
        <v>486</v>
      </c>
      <c r="H175" s="146"/>
      <c r="I175" s="146"/>
      <c r="J175" s="144"/>
      <c r="K175" s="143"/>
    </row>
    <row r="176" spans="2:13" ht="15" thickBot="1" x14ac:dyDescent="0.4">
      <c r="B176" s="147"/>
      <c r="C176" s="146"/>
      <c r="D176" s="146"/>
      <c r="E176" s="146"/>
      <c r="F176" s="146"/>
      <c r="G176" s="146"/>
      <c r="H176" s="146"/>
      <c r="I176" s="146"/>
      <c r="J176" s="146"/>
      <c r="K176" s="144"/>
    </row>
  </sheetData>
  <scenarios current="11" show="11">
    <scenario name="Default_Mineralization_DMC-W_Calcite" locked="1" count="2" user="Emily Nishikawa" comment="Default values for SUb-Pathway DMC-W and Product Calcite">
      <inputCells r="D39" val="0.314006348200884" numFmtId="165"/>
      <inputCells r="D40" val="0.0342029798040323" numFmtId="165"/>
    </scenario>
    <scenario name="Default_Mineralization_WMC_CWM" locked="1" count="1" user="Emily Nishikawa" comment="Default values for Sub-pathway WMC Product CWM">
      <inputCells r="D46" val="0.0587838932985424"/>
    </scenario>
    <scenario name="Default_Mineralization_DMC-O_Magnesite" locked="1" count="1" user="Emily Nishikawa" comment="Default for DMC-O Magnesite">
      <inputCells r="D52" val="0.497789433333255"/>
    </scenario>
    <scenario name="Default_Bioconversion_P-DE_Diesel" locked="1" count="1" user="Emily Nishikawa" comment="Default values for Bioconversion P-DE subpathway">
      <inputCells r="D64" val="6.08777904" numFmtId="165"/>
    </scenario>
    <scenario name="Default_Bioconversion_P-WE_Diesel" locked="1" count="2" user="Emily Nishikawa" comment="Default values for Bioconversion P-WE subpathway">
      <inputCells r="D70" val="0.63" numFmtId="165"/>
      <inputCells r="D71" val="0.29" numFmtId="165"/>
    </scenario>
    <scenario name="Default_Electricity_SOEC-CO_Methane" locked="1" count="2" user="Emily Nishikawa" comment="Default values for SOEC-CO subpathway and methane production_x000a_Modified by Emily Nishikawa on 2020-03-23">
      <inputCells r="D83" val="5.125" numFmtId="164"/>
      <inputCells r="D84" val="0.645569620253165" numFmtId="164"/>
    </scenario>
    <scenario name="Default_Electricity_SOEC-CO_Methanol" locked="1" count="2" user="Emily Nishikawa">
      <inputCells r="D88" val="6.949" numFmtId="164"/>
      <inputCells r="D89" val="0.322784810126582" numFmtId="164"/>
    </scenario>
    <scenario name="Default_Electricity_SOEC-CO_Diesel" locked="1" count="2" user="Emily Nishikawa">
      <inputCells r="D93" val="15.9827" numFmtId="164"/>
      <inputCells r="D94" val="0.742405063291139" numFmtId="164"/>
    </scenario>
    <scenario name="Default_Electricity_SOEC-CO_Ethanol" locked="1" count="1" user="Emily Nishikawa">
      <inputCells r="D98" val="57.3522215169787" numFmtId="2"/>
    </scenario>
    <scenario name="Default_Electricity_SOEC-EL_Methane" locked="1" count="2" user="Emily Nishikawa">
      <inputCells r="D104" val="21.32" numFmtId="164"/>
      <inputCells r="D105" val="0.335" numFmtId="164"/>
    </scenario>
    <scenario name="Default_Electricity_SOEC-EL_Methanol" locked="1" count="2" user="Emily Nishikawa">
      <inputCells r="D109" val="7.749" numFmtId="164"/>
      <inputCells r="D110" val="1.271" numFmtId="164"/>
    </scenario>
    <scenario name="Default_Electricity_SOEC-EL_Diesel" locked="1" count="1" user="Emily Nishikawa" comment="Created by Emily Nishikawa on 2020-03-23">
      <inputCells r="D114" val="24.21832" numFmtId="164"/>
    </scenario>
    <scenario name="Default_Hydrocarbon_DMR-CO_Methanol" locked="1" count="3" user="Emily Nishikawa" comment="Default values for subpathway DMR-CO for Reduction by Hydrocarbon">
      <inputCells r="D125" val="0.203952143533123" numFmtId="164"/>
      <inputCells r="D126" val="4.62890310725552" numFmtId="164"/>
      <inputCells r="D127" val="0.731072555205047" numFmtId="164"/>
    </scenario>
    <scenario name="Default_Hydrocarbon_DMR-H2_Methanol" locked="1" count="4" user="Emily Nishikawa" comment="Default values for supathway DMR-H2 for Reduction by Hydrocarbon_x000a_Modified by Emily Nishikawa on 2020-01-23">
      <inputCells r="D132" val="0.291029246054519" numFmtId="164"/>
      <inputCells r="D133" val="3.43137529411765" numFmtId="164"/>
      <inputCells r="D134" val="0.0911047345767575" numFmtId="164"/>
      <inputCells r="D135" val="0.332496413199426" numFmtId="164"/>
    </scenario>
    <scenario name="Default_Light_PCAT_Methane" locked="1" count="2" user="Emily Nishikawa" comment="Default values for methane">
      <inputCells r="D146" val="0.00690414827960455" numFmtId="164"/>
      <inputCells r="D147" val="0.000074171177881324" numFmtId="11"/>
    </scenario>
    <scenario name="Default_Light_PCAT_Methanol" locked="1" count="2" user="Emily Nishikawa" comment="Default values for methanol">
      <inputCells r="D151" val="0.00317063786641992" numFmtId="164"/>
      <inputCells r="D152" val="0.133241370962251" numFmtId="164"/>
    </scenario>
    <scenario name="Default_Hydrogen_D-H2_Diesel" locked="1" count="1" user="Emily Nishikawa" comment="Default values for Diesel">
      <inputCells r="D163" val="0.428375" numFmtId="164"/>
    </scenario>
    <scenario name="Default_Hydrogen_D-H2_Methane" locked="1" count="2" user="Emily Nishikawa" comment="Default values for methane">
      <inputCells r="D167" val="0.335" numFmtId="164"/>
      <inputCells r="D168" val="0.52" numFmtId="164"/>
    </scenario>
    <scenario name="Default_Hydrogen_D-H2_Methanol" locked="1" count="3" user="Emily Nishikawa" comment="Default values for methanol">
      <inputCells r="D172" val="0.169" numFmtId="164"/>
      <inputCells r="D173" val="0.439" numFmtId="164"/>
      <inputCells r="D174" val="0.199" numFmtId="164"/>
    </scenario>
  </scenarios>
  <mergeCells count="7">
    <mergeCell ref="M67:AM67"/>
    <mergeCell ref="M98:AM98"/>
    <mergeCell ref="B1:K2"/>
    <mergeCell ref="B4:K4"/>
    <mergeCell ref="M1:AM2"/>
    <mergeCell ref="M4:AM4"/>
    <mergeCell ref="M40:AM4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5" r:id="rId4" name="Btn_Reset_All">
              <controlPr defaultSize="0" print="0" autoFill="0" autoPict="0" macro="[0]!Btn_Reset_All_Click">
                <anchor moveWithCells="1" sizeWithCells="1">
                  <from>
                    <xdr:col>8</xdr:col>
                    <xdr:colOff>349250</xdr:colOff>
                    <xdr:row>6</xdr:row>
                    <xdr:rowOff>76200</xdr:rowOff>
                  </from>
                  <to>
                    <xdr:col>10</xdr:col>
                    <xdr:colOff>222250</xdr:colOff>
                    <xdr:row>7</xdr:row>
                    <xdr:rowOff>165100</xdr:rowOff>
                  </to>
                </anchor>
              </controlPr>
            </control>
          </mc:Choice>
        </mc:AlternateContent>
        <mc:AlternateContent xmlns:mc="http://schemas.openxmlformats.org/markup-compatibility/2006">
          <mc:Choice Requires="x14">
            <control shapeId="3181" r:id="rId5" name="Btn_Mineralization_Reset">
              <controlPr defaultSize="0" print="0" autoFill="0" autoPict="0" macro="[0]!Btn_Mineralization_Reset_Click">
                <anchor moveWithCells="1" sizeWithCells="1">
                  <from>
                    <xdr:col>8</xdr:col>
                    <xdr:colOff>19050</xdr:colOff>
                    <xdr:row>33</xdr:row>
                    <xdr:rowOff>25400</xdr:rowOff>
                  </from>
                  <to>
                    <xdr:col>10</xdr:col>
                    <xdr:colOff>50800</xdr:colOff>
                    <xdr:row>34</xdr:row>
                    <xdr:rowOff>158750</xdr:rowOff>
                  </to>
                </anchor>
              </controlPr>
            </control>
          </mc:Choice>
        </mc:AlternateContent>
        <mc:AlternateContent xmlns:mc="http://schemas.openxmlformats.org/markup-compatibility/2006">
          <mc:Choice Requires="x14">
            <control shapeId="3182" r:id="rId6" name="Electricity_DMC-W_Calcite">
              <controlPr defaultSize="0" autoLine="0" autoPict="0" macro="[0]!Electricity_DMCW_Calcite_Change">
                <anchor moveWithCells="1">
                  <from>
                    <xdr:col>7</xdr:col>
                    <xdr:colOff>355600</xdr:colOff>
                    <xdr:row>38</xdr:row>
                    <xdr:rowOff>12700</xdr:rowOff>
                  </from>
                  <to>
                    <xdr:col>9</xdr:col>
                    <xdr:colOff>698500</xdr:colOff>
                    <xdr:row>38</xdr:row>
                    <xdr:rowOff>266700</xdr:rowOff>
                  </to>
                </anchor>
              </controlPr>
            </control>
          </mc:Choice>
        </mc:AlternateContent>
        <mc:AlternateContent xmlns:mc="http://schemas.openxmlformats.org/markup-compatibility/2006">
          <mc:Choice Requires="x14">
            <control shapeId="3184" r:id="rId7" name="CO2_Capture_DMC-W_Calcite">
              <controlPr defaultSize="0" autoLine="0" autoPict="0" macro="[0]!CO2_Capture_DMCW_Calcite_Change">
                <anchor moveWithCells="1">
                  <from>
                    <xdr:col>7</xdr:col>
                    <xdr:colOff>355600</xdr:colOff>
                    <xdr:row>40</xdr:row>
                    <xdr:rowOff>25400</xdr:rowOff>
                  </from>
                  <to>
                    <xdr:col>9</xdr:col>
                    <xdr:colOff>698500</xdr:colOff>
                    <xdr:row>40</xdr:row>
                    <xdr:rowOff>279400</xdr:rowOff>
                  </to>
                </anchor>
              </controlPr>
            </control>
          </mc:Choice>
        </mc:AlternateContent>
        <mc:AlternateContent xmlns:mc="http://schemas.openxmlformats.org/markup-compatibility/2006">
          <mc:Choice Requires="x14">
            <control shapeId="3193" r:id="rId8" name="Electricity_WMC_CWM">
              <controlPr defaultSize="0" autoLine="0" autoPict="0" macro="[0]!Electricity_WMC_CWM_Change">
                <anchor moveWithCells="1">
                  <from>
                    <xdr:col>7</xdr:col>
                    <xdr:colOff>368300</xdr:colOff>
                    <xdr:row>45</xdr:row>
                    <xdr:rowOff>12700</xdr:rowOff>
                  </from>
                  <to>
                    <xdr:col>9</xdr:col>
                    <xdr:colOff>711200</xdr:colOff>
                    <xdr:row>45</xdr:row>
                    <xdr:rowOff>266700</xdr:rowOff>
                  </to>
                </anchor>
              </controlPr>
            </control>
          </mc:Choice>
        </mc:AlternateContent>
        <mc:AlternateContent xmlns:mc="http://schemas.openxmlformats.org/markup-compatibility/2006">
          <mc:Choice Requires="x14">
            <control shapeId="3195" r:id="rId9" name="CO2_Capture_WMC_CWM">
              <controlPr defaultSize="0" autoLine="0" autoPict="0" macro="[0]!CO2_Capture_WMC_CWM_Change">
                <anchor moveWithCells="1">
                  <from>
                    <xdr:col>7</xdr:col>
                    <xdr:colOff>368300</xdr:colOff>
                    <xdr:row>46</xdr:row>
                    <xdr:rowOff>25400</xdr:rowOff>
                  </from>
                  <to>
                    <xdr:col>9</xdr:col>
                    <xdr:colOff>711200</xdr:colOff>
                    <xdr:row>46</xdr:row>
                    <xdr:rowOff>279400</xdr:rowOff>
                  </to>
                </anchor>
              </controlPr>
            </control>
          </mc:Choice>
        </mc:AlternateContent>
        <mc:AlternateContent xmlns:mc="http://schemas.openxmlformats.org/markup-compatibility/2006">
          <mc:Choice Requires="x14">
            <control shapeId="3196" r:id="rId10" name="Heat_DMC-W_Calcite">
              <controlPr defaultSize="0" autoLine="0" autoPict="0" macro="[0]!Heat_DMCW_Calcite_Change">
                <anchor moveWithCells="1">
                  <from>
                    <xdr:col>7</xdr:col>
                    <xdr:colOff>355600</xdr:colOff>
                    <xdr:row>39</xdr:row>
                    <xdr:rowOff>25400</xdr:rowOff>
                  </from>
                  <to>
                    <xdr:col>9</xdr:col>
                    <xdr:colOff>698500</xdr:colOff>
                    <xdr:row>39</xdr:row>
                    <xdr:rowOff>266700</xdr:rowOff>
                  </to>
                </anchor>
              </controlPr>
            </control>
          </mc:Choice>
        </mc:AlternateContent>
        <mc:AlternateContent xmlns:mc="http://schemas.openxmlformats.org/markup-compatibility/2006">
          <mc:Choice Requires="x14">
            <control shapeId="3198" r:id="rId11" name="CO2_Capture_DMC-O_Magnesite">
              <controlPr defaultSize="0" autoLine="0" autoPict="0" macro="[0]!CO2_Capture_DMCO_Magnesite_Change">
                <anchor moveWithCells="1">
                  <from>
                    <xdr:col>7</xdr:col>
                    <xdr:colOff>368300</xdr:colOff>
                    <xdr:row>52</xdr:row>
                    <xdr:rowOff>25400</xdr:rowOff>
                  </from>
                  <to>
                    <xdr:col>9</xdr:col>
                    <xdr:colOff>711200</xdr:colOff>
                    <xdr:row>52</xdr:row>
                    <xdr:rowOff>279400</xdr:rowOff>
                  </to>
                </anchor>
              </controlPr>
            </control>
          </mc:Choice>
        </mc:AlternateContent>
        <mc:AlternateContent xmlns:mc="http://schemas.openxmlformats.org/markup-compatibility/2006">
          <mc:Choice Requires="x14">
            <control shapeId="3211" r:id="rId12" name="Ddl_Chart_Per_Product">
              <controlPr defaultSize="0" autoLine="0" autoPict="0" macro="[0]!Ddl_Chart_Per_Product_Change">
                <anchor moveWithCells="1">
                  <from>
                    <xdr:col>15</xdr:col>
                    <xdr:colOff>12700</xdr:colOff>
                    <xdr:row>41</xdr:row>
                    <xdr:rowOff>0</xdr:rowOff>
                  </from>
                  <to>
                    <xdr:col>18</xdr:col>
                    <xdr:colOff>520700</xdr:colOff>
                    <xdr:row>42</xdr:row>
                    <xdr:rowOff>82550</xdr:rowOff>
                  </to>
                </anchor>
              </controlPr>
            </control>
          </mc:Choice>
        </mc:AlternateContent>
        <mc:AlternateContent xmlns:mc="http://schemas.openxmlformats.org/markup-compatibility/2006">
          <mc:Choice Requires="x14">
            <control shapeId="3213" r:id="rId13" name="Electricity_Dry_Diesel">
              <controlPr defaultSize="0" autoLine="0" autoPict="0" macro="[0]!Electricity_Dry_Diesel_Change">
                <anchor moveWithCells="1">
                  <from>
                    <xdr:col>7</xdr:col>
                    <xdr:colOff>355600</xdr:colOff>
                    <xdr:row>63</xdr:row>
                    <xdr:rowOff>12700</xdr:rowOff>
                  </from>
                  <to>
                    <xdr:col>9</xdr:col>
                    <xdr:colOff>698500</xdr:colOff>
                    <xdr:row>63</xdr:row>
                    <xdr:rowOff>266700</xdr:rowOff>
                  </to>
                </anchor>
              </controlPr>
            </control>
          </mc:Choice>
        </mc:AlternateContent>
        <mc:AlternateContent xmlns:mc="http://schemas.openxmlformats.org/markup-compatibility/2006">
          <mc:Choice Requires="x14">
            <control shapeId="3214" r:id="rId14" name="CO2_Capture_Dry_Diesel">
              <controlPr defaultSize="0" autoLine="0" autoPict="0" macro="[0]!CO2_Capture_Dry_Diesel_Change">
                <anchor moveWithCells="1">
                  <from>
                    <xdr:col>7</xdr:col>
                    <xdr:colOff>355600</xdr:colOff>
                    <xdr:row>64</xdr:row>
                    <xdr:rowOff>25400</xdr:rowOff>
                  </from>
                  <to>
                    <xdr:col>9</xdr:col>
                    <xdr:colOff>698500</xdr:colOff>
                    <xdr:row>64</xdr:row>
                    <xdr:rowOff>279400</xdr:rowOff>
                  </to>
                </anchor>
              </controlPr>
            </control>
          </mc:Choice>
        </mc:AlternateContent>
        <mc:AlternateContent xmlns:mc="http://schemas.openxmlformats.org/markup-compatibility/2006">
          <mc:Choice Requires="x14">
            <control shapeId="3216" r:id="rId15" name="Electricity_Wet_Diesel">
              <controlPr defaultSize="0" autoLine="0" autoPict="0" macro="[0]!Electricity_Wet_Diesel_Change">
                <anchor moveWithCells="1">
                  <from>
                    <xdr:col>7</xdr:col>
                    <xdr:colOff>355600</xdr:colOff>
                    <xdr:row>69</xdr:row>
                    <xdr:rowOff>12700</xdr:rowOff>
                  </from>
                  <to>
                    <xdr:col>9</xdr:col>
                    <xdr:colOff>698500</xdr:colOff>
                    <xdr:row>69</xdr:row>
                    <xdr:rowOff>266700</xdr:rowOff>
                  </to>
                </anchor>
              </controlPr>
            </control>
          </mc:Choice>
        </mc:AlternateContent>
        <mc:AlternateContent xmlns:mc="http://schemas.openxmlformats.org/markup-compatibility/2006">
          <mc:Choice Requires="x14">
            <control shapeId="3217" r:id="rId16" name="CO2_Capture_Wet_Diesel">
              <controlPr defaultSize="0" autoLine="0" autoPict="0" macro="[0]!CO2_Capture_Wet_Diesel_Change">
                <anchor moveWithCells="1">
                  <from>
                    <xdr:col>7</xdr:col>
                    <xdr:colOff>355600</xdr:colOff>
                    <xdr:row>71</xdr:row>
                    <xdr:rowOff>25400</xdr:rowOff>
                  </from>
                  <to>
                    <xdr:col>9</xdr:col>
                    <xdr:colOff>698500</xdr:colOff>
                    <xdr:row>71</xdr:row>
                    <xdr:rowOff>279400</xdr:rowOff>
                  </to>
                </anchor>
              </controlPr>
            </control>
          </mc:Choice>
        </mc:AlternateContent>
        <mc:AlternateContent xmlns:mc="http://schemas.openxmlformats.org/markup-compatibility/2006">
          <mc:Choice Requires="x14">
            <control shapeId="3218" r:id="rId17" name="Heat_Wet_Diesel">
              <controlPr defaultSize="0" autoLine="0" autoPict="0" macro="[0]!Heat_Wet_Diesel_Change">
                <anchor moveWithCells="1">
                  <from>
                    <xdr:col>7</xdr:col>
                    <xdr:colOff>355600</xdr:colOff>
                    <xdr:row>70</xdr:row>
                    <xdr:rowOff>25400</xdr:rowOff>
                  </from>
                  <to>
                    <xdr:col>9</xdr:col>
                    <xdr:colOff>698500</xdr:colOff>
                    <xdr:row>70</xdr:row>
                    <xdr:rowOff>266700</xdr:rowOff>
                  </to>
                </anchor>
              </controlPr>
            </control>
          </mc:Choice>
        </mc:AlternateContent>
        <mc:AlternateContent xmlns:mc="http://schemas.openxmlformats.org/markup-compatibility/2006">
          <mc:Choice Requires="x14">
            <control shapeId="3220" r:id="rId18" name="Btn_Bioconversion_Reset">
              <controlPr defaultSize="0" print="0" autoFill="0" autoPict="0" macro="[0]!Btn_Bioconversion_Reset_Click">
                <anchor moveWithCells="1" sizeWithCells="1">
                  <from>
                    <xdr:col>8</xdr:col>
                    <xdr:colOff>19050</xdr:colOff>
                    <xdr:row>58</xdr:row>
                    <xdr:rowOff>38100</xdr:rowOff>
                  </from>
                  <to>
                    <xdr:col>10</xdr:col>
                    <xdr:colOff>57150</xdr:colOff>
                    <xdr:row>59</xdr:row>
                    <xdr:rowOff>215900</xdr:rowOff>
                  </to>
                </anchor>
              </controlPr>
            </control>
          </mc:Choice>
        </mc:AlternateContent>
        <mc:AlternateContent xmlns:mc="http://schemas.openxmlformats.org/markup-compatibility/2006">
          <mc:Choice Requires="x14">
            <control shapeId="3221" r:id="rId19" name="Electricity_SOEC-CO_Methane">
              <controlPr defaultSize="0" autoLine="0" autoPict="0" macro="[0]!Electricity_SOECCO_Methane_Change">
                <anchor moveWithCells="1">
                  <from>
                    <xdr:col>7</xdr:col>
                    <xdr:colOff>355600</xdr:colOff>
                    <xdr:row>82</xdr:row>
                    <xdr:rowOff>12700</xdr:rowOff>
                  </from>
                  <to>
                    <xdr:col>9</xdr:col>
                    <xdr:colOff>698500</xdr:colOff>
                    <xdr:row>82</xdr:row>
                    <xdr:rowOff>266700</xdr:rowOff>
                  </to>
                </anchor>
              </controlPr>
            </control>
          </mc:Choice>
        </mc:AlternateContent>
        <mc:AlternateContent xmlns:mc="http://schemas.openxmlformats.org/markup-compatibility/2006">
          <mc:Choice Requires="x14">
            <control shapeId="3222" r:id="rId20" name="CO2_Capture_SOEC-CO_Methane">
              <controlPr defaultSize="0" autoLine="0" autoPict="0" macro="[0]!CO2_Capture_SOECCO_Methane_Change">
                <anchor moveWithCells="1">
                  <from>
                    <xdr:col>7</xdr:col>
                    <xdr:colOff>355600</xdr:colOff>
                    <xdr:row>84</xdr:row>
                    <xdr:rowOff>31750</xdr:rowOff>
                  </from>
                  <to>
                    <xdr:col>9</xdr:col>
                    <xdr:colOff>698500</xdr:colOff>
                    <xdr:row>84</xdr:row>
                    <xdr:rowOff>292100</xdr:rowOff>
                  </to>
                </anchor>
              </controlPr>
            </control>
          </mc:Choice>
        </mc:AlternateContent>
        <mc:AlternateContent xmlns:mc="http://schemas.openxmlformats.org/markup-compatibility/2006">
          <mc:Choice Requires="x14">
            <control shapeId="3223" r:id="rId21" name="Electricity_SOEC-CO_Methanol">
              <controlPr defaultSize="0" autoLine="0" autoPict="0" macro="[0]!Electricity_SOECCO_Methanol_Change">
                <anchor moveWithCells="1">
                  <from>
                    <xdr:col>7</xdr:col>
                    <xdr:colOff>355600</xdr:colOff>
                    <xdr:row>87</xdr:row>
                    <xdr:rowOff>12700</xdr:rowOff>
                  </from>
                  <to>
                    <xdr:col>9</xdr:col>
                    <xdr:colOff>698500</xdr:colOff>
                    <xdr:row>87</xdr:row>
                    <xdr:rowOff>266700</xdr:rowOff>
                  </to>
                </anchor>
              </controlPr>
            </control>
          </mc:Choice>
        </mc:AlternateContent>
        <mc:AlternateContent xmlns:mc="http://schemas.openxmlformats.org/markup-compatibility/2006">
          <mc:Choice Requires="x14">
            <control shapeId="3224" r:id="rId22" name="CO2_Capture_SOEC-CO_Methanol">
              <controlPr defaultSize="0" autoLine="0" autoPict="0" macro="[0]!CO2_Capture_SOECCO_Methanol_Change">
                <anchor moveWithCells="1">
                  <from>
                    <xdr:col>7</xdr:col>
                    <xdr:colOff>355600</xdr:colOff>
                    <xdr:row>89</xdr:row>
                    <xdr:rowOff>31750</xdr:rowOff>
                  </from>
                  <to>
                    <xdr:col>9</xdr:col>
                    <xdr:colOff>698500</xdr:colOff>
                    <xdr:row>89</xdr:row>
                    <xdr:rowOff>292100</xdr:rowOff>
                  </to>
                </anchor>
              </controlPr>
            </control>
          </mc:Choice>
        </mc:AlternateContent>
        <mc:AlternateContent xmlns:mc="http://schemas.openxmlformats.org/markup-compatibility/2006">
          <mc:Choice Requires="x14">
            <control shapeId="3225" r:id="rId23" name="Electricity_SOEC-CO_Diesel">
              <controlPr defaultSize="0" autoLine="0" autoPict="0" macro="[0]!Electricity_SOECCO_Diesel_Change">
                <anchor moveWithCells="1">
                  <from>
                    <xdr:col>7</xdr:col>
                    <xdr:colOff>355600</xdr:colOff>
                    <xdr:row>92</xdr:row>
                    <xdr:rowOff>12700</xdr:rowOff>
                  </from>
                  <to>
                    <xdr:col>9</xdr:col>
                    <xdr:colOff>698500</xdr:colOff>
                    <xdr:row>92</xdr:row>
                    <xdr:rowOff>273050</xdr:rowOff>
                  </to>
                </anchor>
              </controlPr>
            </control>
          </mc:Choice>
        </mc:AlternateContent>
        <mc:AlternateContent xmlns:mc="http://schemas.openxmlformats.org/markup-compatibility/2006">
          <mc:Choice Requires="x14">
            <control shapeId="3226" r:id="rId24" name="CO2_Capture_SOEC-CO_Diesel">
              <controlPr defaultSize="0" autoLine="0" autoPict="0" macro="[0]!CO2_Capture_SOECCO_Diesel_Change">
                <anchor moveWithCells="1">
                  <from>
                    <xdr:col>7</xdr:col>
                    <xdr:colOff>355600</xdr:colOff>
                    <xdr:row>94</xdr:row>
                    <xdr:rowOff>31750</xdr:rowOff>
                  </from>
                  <to>
                    <xdr:col>9</xdr:col>
                    <xdr:colOff>698500</xdr:colOff>
                    <xdr:row>94</xdr:row>
                    <xdr:rowOff>292100</xdr:rowOff>
                  </to>
                </anchor>
              </controlPr>
            </control>
          </mc:Choice>
        </mc:AlternateContent>
        <mc:AlternateContent xmlns:mc="http://schemas.openxmlformats.org/markup-compatibility/2006">
          <mc:Choice Requires="x14">
            <control shapeId="3227" r:id="rId25" name="Electricity_SOEC-CO_Ethanol">
              <controlPr defaultSize="0" autoLine="0" autoPict="0" macro="[0]!Electricity_SOECCO_Ethanol_Change">
                <anchor moveWithCells="1">
                  <from>
                    <xdr:col>7</xdr:col>
                    <xdr:colOff>355600</xdr:colOff>
                    <xdr:row>97</xdr:row>
                    <xdr:rowOff>12700</xdr:rowOff>
                  </from>
                  <to>
                    <xdr:col>9</xdr:col>
                    <xdr:colOff>698500</xdr:colOff>
                    <xdr:row>97</xdr:row>
                    <xdr:rowOff>266700</xdr:rowOff>
                  </to>
                </anchor>
              </controlPr>
            </control>
          </mc:Choice>
        </mc:AlternateContent>
        <mc:AlternateContent xmlns:mc="http://schemas.openxmlformats.org/markup-compatibility/2006">
          <mc:Choice Requires="x14">
            <control shapeId="3228" r:id="rId26" name="CO2_Capture_SOEC-CO_Ethanol">
              <controlPr defaultSize="0" autoLine="0" autoPict="0" macro="[0]!CO2_Capture_SOECCO_Ethanol_Change">
                <anchor moveWithCells="1">
                  <from>
                    <xdr:col>7</xdr:col>
                    <xdr:colOff>355600</xdr:colOff>
                    <xdr:row>98</xdr:row>
                    <xdr:rowOff>31750</xdr:rowOff>
                  </from>
                  <to>
                    <xdr:col>9</xdr:col>
                    <xdr:colOff>698500</xdr:colOff>
                    <xdr:row>98</xdr:row>
                    <xdr:rowOff>292100</xdr:rowOff>
                  </to>
                </anchor>
              </controlPr>
            </control>
          </mc:Choice>
        </mc:AlternateContent>
        <mc:AlternateContent xmlns:mc="http://schemas.openxmlformats.org/markup-compatibility/2006">
          <mc:Choice Requires="x14">
            <control shapeId="3229" r:id="rId27" name="Electricity_SOEC-EL_Methane">
              <controlPr defaultSize="0" autoLine="0" autoPict="0" macro="[0]!Electricity_SOECEL_Methane_Change">
                <anchor moveWithCells="1">
                  <from>
                    <xdr:col>7</xdr:col>
                    <xdr:colOff>355600</xdr:colOff>
                    <xdr:row>103</xdr:row>
                    <xdr:rowOff>44450</xdr:rowOff>
                  </from>
                  <to>
                    <xdr:col>9</xdr:col>
                    <xdr:colOff>698500</xdr:colOff>
                    <xdr:row>104</xdr:row>
                    <xdr:rowOff>101600</xdr:rowOff>
                  </to>
                </anchor>
              </controlPr>
            </control>
          </mc:Choice>
        </mc:AlternateContent>
        <mc:AlternateContent xmlns:mc="http://schemas.openxmlformats.org/markup-compatibility/2006">
          <mc:Choice Requires="x14">
            <control shapeId="3230" r:id="rId28" name="CO2_Capture_SOEC-EL_Methane">
              <controlPr defaultSize="0" autoLine="0" autoPict="0" macro="[0]!CO2_Capture_SOECEL_Methane_Change">
                <anchor moveWithCells="1">
                  <from>
                    <xdr:col>7</xdr:col>
                    <xdr:colOff>355600</xdr:colOff>
                    <xdr:row>105</xdr:row>
                    <xdr:rowOff>31750</xdr:rowOff>
                  </from>
                  <to>
                    <xdr:col>9</xdr:col>
                    <xdr:colOff>698500</xdr:colOff>
                    <xdr:row>105</xdr:row>
                    <xdr:rowOff>292100</xdr:rowOff>
                  </to>
                </anchor>
              </controlPr>
            </control>
          </mc:Choice>
        </mc:AlternateContent>
        <mc:AlternateContent xmlns:mc="http://schemas.openxmlformats.org/markup-compatibility/2006">
          <mc:Choice Requires="x14">
            <control shapeId="3231" r:id="rId29" name="Electricity_SOEC-EL_Methanol">
              <controlPr defaultSize="0" autoLine="0" autoPict="0" macro="[0]!Electricity_SOECEL_Methanol_Change">
                <anchor moveWithCells="1">
                  <from>
                    <xdr:col>7</xdr:col>
                    <xdr:colOff>355600</xdr:colOff>
                    <xdr:row>108</xdr:row>
                    <xdr:rowOff>50800</xdr:rowOff>
                  </from>
                  <to>
                    <xdr:col>9</xdr:col>
                    <xdr:colOff>698500</xdr:colOff>
                    <xdr:row>109</xdr:row>
                    <xdr:rowOff>114300</xdr:rowOff>
                  </to>
                </anchor>
              </controlPr>
            </control>
          </mc:Choice>
        </mc:AlternateContent>
        <mc:AlternateContent xmlns:mc="http://schemas.openxmlformats.org/markup-compatibility/2006">
          <mc:Choice Requires="x14">
            <control shapeId="3232" r:id="rId30" name="CO2_Capture_SOEC-EL_Methanol">
              <controlPr defaultSize="0" autoLine="0" autoPict="0" macro="[0]!CO2_Capture_SOECEL_Methanol_Change">
                <anchor moveWithCells="1">
                  <from>
                    <xdr:col>7</xdr:col>
                    <xdr:colOff>355600</xdr:colOff>
                    <xdr:row>110</xdr:row>
                    <xdr:rowOff>31750</xdr:rowOff>
                  </from>
                  <to>
                    <xdr:col>9</xdr:col>
                    <xdr:colOff>698500</xdr:colOff>
                    <xdr:row>110</xdr:row>
                    <xdr:rowOff>292100</xdr:rowOff>
                  </to>
                </anchor>
              </controlPr>
            </control>
          </mc:Choice>
        </mc:AlternateContent>
        <mc:AlternateContent xmlns:mc="http://schemas.openxmlformats.org/markup-compatibility/2006">
          <mc:Choice Requires="x14">
            <control shapeId="3233" r:id="rId31" name="Electricity_SOEC-EL_Diesel">
              <controlPr defaultSize="0" autoLine="0" autoPict="0" macro="[0]!Electricity_SOECEL_Diesel_Change">
                <anchor moveWithCells="1">
                  <from>
                    <xdr:col>7</xdr:col>
                    <xdr:colOff>355600</xdr:colOff>
                    <xdr:row>113</xdr:row>
                    <xdr:rowOff>12700</xdr:rowOff>
                  </from>
                  <to>
                    <xdr:col>9</xdr:col>
                    <xdr:colOff>698500</xdr:colOff>
                    <xdr:row>113</xdr:row>
                    <xdr:rowOff>266700</xdr:rowOff>
                  </to>
                </anchor>
              </controlPr>
            </control>
          </mc:Choice>
        </mc:AlternateContent>
        <mc:AlternateContent xmlns:mc="http://schemas.openxmlformats.org/markup-compatibility/2006">
          <mc:Choice Requires="x14">
            <control shapeId="3234" r:id="rId32" name="CO2_Capture_SOEC-EL_Diesel">
              <controlPr defaultSize="0" autoLine="0" autoPict="0" macro="[0]!CO2_Capture_SOECEL_Diesel_Change">
                <anchor moveWithCells="1">
                  <from>
                    <xdr:col>7</xdr:col>
                    <xdr:colOff>355600</xdr:colOff>
                    <xdr:row>114</xdr:row>
                    <xdr:rowOff>31750</xdr:rowOff>
                  </from>
                  <to>
                    <xdr:col>9</xdr:col>
                    <xdr:colOff>698500</xdr:colOff>
                    <xdr:row>114</xdr:row>
                    <xdr:rowOff>292100</xdr:rowOff>
                  </to>
                </anchor>
              </controlPr>
            </control>
          </mc:Choice>
        </mc:AlternateContent>
        <mc:AlternateContent xmlns:mc="http://schemas.openxmlformats.org/markup-compatibility/2006">
          <mc:Choice Requires="x14">
            <control shapeId="3241" r:id="rId33" name="Btn_Electricity_Reset">
              <controlPr defaultSize="0" print="0" autoFill="0" autoPict="0" macro="[0]!Btn_Electricity_Reset_Click">
                <anchor moveWithCells="1" sizeWithCells="1">
                  <from>
                    <xdr:col>8</xdr:col>
                    <xdr:colOff>19050</xdr:colOff>
                    <xdr:row>77</xdr:row>
                    <xdr:rowOff>25400</xdr:rowOff>
                  </from>
                  <to>
                    <xdr:col>10</xdr:col>
                    <xdr:colOff>57150</xdr:colOff>
                    <xdr:row>78</xdr:row>
                    <xdr:rowOff>203200</xdr:rowOff>
                  </to>
                </anchor>
              </controlPr>
            </control>
          </mc:Choice>
        </mc:AlternateContent>
        <mc:AlternateContent xmlns:mc="http://schemas.openxmlformats.org/markup-compatibility/2006">
          <mc:Choice Requires="x14">
            <control shapeId="3242" r:id="rId34" name="Heat_SOEC-CO_Methane">
              <controlPr defaultSize="0" autoLine="0" autoPict="0" macro="[0]!Heat_SOECCO_Methane_Change">
                <anchor moveWithCells="1">
                  <from>
                    <xdr:col>7</xdr:col>
                    <xdr:colOff>355600</xdr:colOff>
                    <xdr:row>83</xdr:row>
                    <xdr:rowOff>25400</xdr:rowOff>
                  </from>
                  <to>
                    <xdr:col>9</xdr:col>
                    <xdr:colOff>698500</xdr:colOff>
                    <xdr:row>83</xdr:row>
                    <xdr:rowOff>266700</xdr:rowOff>
                  </to>
                </anchor>
              </controlPr>
            </control>
          </mc:Choice>
        </mc:AlternateContent>
        <mc:AlternateContent xmlns:mc="http://schemas.openxmlformats.org/markup-compatibility/2006">
          <mc:Choice Requires="x14">
            <control shapeId="3243" r:id="rId35" name="Heat_SOEC-CO_Methanol">
              <controlPr defaultSize="0" autoLine="0" autoPict="0" macro="[0]!Heat_SOECCO_Methanol_Change">
                <anchor moveWithCells="1">
                  <from>
                    <xdr:col>7</xdr:col>
                    <xdr:colOff>355600</xdr:colOff>
                    <xdr:row>88</xdr:row>
                    <xdr:rowOff>25400</xdr:rowOff>
                  </from>
                  <to>
                    <xdr:col>9</xdr:col>
                    <xdr:colOff>698500</xdr:colOff>
                    <xdr:row>88</xdr:row>
                    <xdr:rowOff>266700</xdr:rowOff>
                  </to>
                </anchor>
              </controlPr>
            </control>
          </mc:Choice>
        </mc:AlternateContent>
        <mc:AlternateContent xmlns:mc="http://schemas.openxmlformats.org/markup-compatibility/2006">
          <mc:Choice Requires="x14">
            <control shapeId="3244" r:id="rId36" name="Heat_SOEC-CO_Diesel">
              <controlPr defaultSize="0" autoLine="0" autoPict="0" macro="[0]!Heat_SOECCO_Diesel_Change">
                <anchor moveWithCells="1">
                  <from>
                    <xdr:col>7</xdr:col>
                    <xdr:colOff>355600</xdr:colOff>
                    <xdr:row>93</xdr:row>
                    <xdr:rowOff>25400</xdr:rowOff>
                  </from>
                  <to>
                    <xdr:col>9</xdr:col>
                    <xdr:colOff>698500</xdr:colOff>
                    <xdr:row>93</xdr:row>
                    <xdr:rowOff>266700</xdr:rowOff>
                  </to>
                </anchor>
              </controlPr>
            </control>
          </mc:Choice>
        </mc:AlternateContent>
        <mc:AlternateContent xmlns:mc="http://schemas.openxmlformats.org/markup-compatibility/2006">
          <mc:Choice Requires="x14">
            <control shapeId="3246" r:id="rId37" name="Hydrocarbon_DMR-CO_Methanol">
              <controlPr defaultSize="0" autoLine="0" autoPict="0" macro="[0]!Hydrocarbon_DMRCO_Methanol_Change">
                <anchor moveWithCells="1">
                  <from>
                    <xdr:col>7</xdr:col>
                    <xdr:colOff>355600</xdr:colOff>
                    <xdr:row>124</xdr:row>
                    <xdr:rowOff>12700</xdr:rowOff>
                  </from>
                  <to>
                    <xdr:col>9</xdr:col>
                    <xdr:colOff>698500</xdr:colOff>
                    <xdr:row>124</xdr:row>
                    <xdr:rowOff>279400</xdr:rowOff>
                  </to>
                </anchor>
              </controlPr>
            </control>
          </mc:Choice>
        </mc:AlternateContent>
        <mc:AlternateContent xmlns:mc="http://schemas.openxmlformats.org/markup-compatibility/2006">
          <mc:Choice Requires="x14">
            <control shapeId="3247" r:id="rId38" name="CO2_Capture_DMR-CO_Methanol">
              <controlPr defaultSize="0" autoLine="0" autoPict="0" macro="[0]!CO2_Capture_DMRCO_Methanol_Change">
                <anchor moveWithCells="1">
                  <from>
                    <xdr:col>7</xdr:col>
                    <xdr:colOff>355600</xdr:colOff>
                    <xdr:row>127</xdr:row>
                    <xdr:rowOff>31750</xdr:rowOff>
                  </from>
                  <to>
                    <xdr:col>9</xdr:col>
                    <xdr:colOff>698500</xdr:colOff>
                    <xdr:row>127</xdr:row>
                    <xdr:rowOff>292100</xdr:rowOff>
                  </to>
                </anchor>
              </controlPr>
            </control>
          </mc:Choice>
        </mc:AlternateContent>
        <mc:AlternateContent xmlns:mc="http://schemas.openxmlformats.org/markup-compatibility/2006">
          <mc:Choice Requires="x14">
            <control shapeId="3248" r:id="rId39" name="Heat_DMR-CO_Methanol">
              <controlPr defaultSize="0" autoLine="0" autoPict="0" macro="[0]!Heat_DMRCO_Methanol_Change">
                <anchor moveWithCells="1">
                  <from>
                    <xdr:col>7</xdr:col>
                    <xdr:colOff>355600</xdr:colOff>
                    <xdr:row>125</xdr:row>
                    <xdr:rowOff>25400</xdr:rowOff>
                  </from>
                  <to>
                    <xdr:col>9</xdr:col>
                    <xdr:colOff>698500</xdr:colOff>
                    <xdr:row>125</xdr:row>
                    <xdr:rowOff>273050</xdr:rowOff>
                  </to>
                </anchor>
              </controlPr>
            </control>
          </mc:Choice>
        </mc:AlternateContent>
        <mc:AlternateContent xmlns:mc="http://schemas.openxmlformats.org/markup-compatibility/2006">
          <mc:Choice Requires="x14">
            <control shapeId="3249" r:id="rId40" name="Hydrocarbon_DMR-H2_Methanol">
              <controlPr defaultSize="0" autoLine="0" autoPict="0" macro="[0]!Hydrocarbon_DMRH2_Methanol_Change">
                <anchor moveWithCells="1">
                  <from>
                    <xdr:col>7</xdr:col>
                    <xdr:colOff>355600</xdr:colOff>
                    <xdr:row>131</xdr:row>
                    <xdr:rowOff>31750</xdr:rowOff>
                  </from>
                  <to>
                    <xdr:col>9</xdr:col>
                    <xdr:colOff>698500</xdr:colOff>
                    <xdr:row>131</xdr:row>
                    <xdr:rowOff>292100</xdr:rowOff>
                  </to>
                </anchor>
              </controlPr>
            </control>
          </mc:Choice>
        </mc:AlternateContent>
        <mc:AlternateContent xmlns:mc="http://schemas.openxmlformats.org/markup-compatibility/2006">
          <mc:Choice Requires="x14">
            <control shapeId="3250" r:id="rId41" name="CO2_Capture_DMR-H2_Methanol">
              <controlPr defaultSize="0" autoLine="0" autoPict="0" macro="[0]!CO2_Capture_DMRH2_Methanol_Change">
                <anchor moveWithCells="1">
                  <from>
                    <xdr:col>7</xdr:col>
                    <xdr:colOff>355600</xdr:colOff>
                    <xdr:row>135</xdr:row>
                    <xdr:rowOff>6350</xdr:rowOff>
                  </from>
                  <to>
                    <xdr:col>9</xdr:col>
                    <xdr:colOff>698500</xdr:colOff>
                    <xdr:row>135</xdr:row>
                    <xdr:rowOff>279400</xdr:rowOff>
                  </to>
                </anchor>
              </controlPr>
            </control>
          </mc:Choice>
        </mc:AlternateContent>
        <mc:AlternateContent xmlns:mc="http://schemas.openxmlformats.org/markup-compatibility/2006">
          <mc:Choice Requires="x14">
            <control shapeId="3251" r:id="rId42" name="Heat_DMR-H2_Methanol">
              <controlPr defaultSize="0" autoLine="0" autoPict="0" macro="[0]!Heat_DMRH2_Methanol_Change">
                <anchor moveWithCells="1">
                  <from>
                    <xdr:col>7</xdr:col>
                    <xdr:colOff>355600</xdr:colOff>
                    <xdr:row>132</xdr:row>
                    <xdr:rowOff>25400</xdr:rowOff>
                  </from>
                  <to>
                    <xdr:col>9</xdr:col>
                    <xdr:colOff>698500</xdr:colOff>
                    <xdr:row>132</xdr:row>
                    <xdr:rowOff>273050</xdr:rowOff>
                  </to>
                </anchor>
              </controlPr>
            </control>
          </mc:Choice>
        </mc:AlternateContent>
        <mc:AlternateContent xmlns:mc="http://schemas.openxmlformats.org/markup-compatibility/2006">
          <mc:Choice Requires="x14">
            <control shapeId="3252" r:id="rId43" name="Hydrogen_DMR-H2_Methanol">
              <controlPr defaultSize="0" autoLine="0" autoPict="0" macro="[0]!Hydrogen_DMRH2_Methanol_Change">
                <anchor moveWithCells="1">
                  <from>
                    <xdr:col>7</xdr:col>
                    <xdr:colOff>355600</xdr:colOff>
                    <xdr:row>133</xdr:row>
                    <xdr:rowOff>25400</xdr:rowOff>
                  </from>
                  <to>
                    <xdr:col>9</xdr:col>
                    <xdr:colOff>698500</xdr:colOff>
                    <xdr:row>133</xdr:row>
                    <xdr:rowOff>273050</xdr:rowOff>
                  </to>
                </anchor>
              </controlPr>
            </control>
          </mc:Choice>
        </mc:AlternateContent>
        <mc:AlternateContent xmlns:mc="http://schemas.openxmlformats.org/markup-compatibility/2006">
          <mc:Choice Requires="x14">
            <control shapeId="3253" r:id="rId44" name="Btn_Hydrocarbon_Reset">
              <controlPr defaultSize="0" print="0" autoFill="0" autoPict="0" macro="[0]!Btn_Hydrocarbon_Reset_Click">
                <anchor moveWithCells="1" sizeWithCells="1">
                  <from>
                    <xdr:col>8</xdr:col>
                    <xdr:colOff>25400</xdr:colOff>
                    <xdr:row>120</xdr:row>
                    <xdr:rowOff>25400</xdr:rowOff>
                  </from>
                  <to>
                    <xdr:col>10</xdr:col>
                    <xdr:colOff>63500</xdr:colOff>
                    <xdr:row>121</xdr:row>
                    <xdr:rowOff>203200</xdr:rowOff>
                  </to>
                </anchor>
              </controlPr>
            </control>
          </mc:Choice>
        </mc:AlternateContent>
        <mc:AlternateContent xmlns:mc="http://schemas.openxmlformats.org/markup-compatibility/2006">
          <mc:Choice Requires="x14">
            <control shapeId="3254" r:id="rId45" name="Light_PCAT_Methane">
              <controlPr defaultSize="0" autoLine="0" autoPict="0" macro="[0]!Light_PCAT_Methane_Change">
                <anchor moveWithCells="1">
                  <from>
                    <xdr:col>7</xdr:col>
                    <xdr:colOff>355600</xdr:colOff>
                    <xdr:row>145</xdr:row>
                    <xdr:rowOff>19050</xdr:rowOff>
                  </from>
                  <to>
                    <xdr:col>9</xdr:col>
                    <xdr:colOff>698500</xdr:colOff>
                    <xdr:row>145</xdr:row>
                    <xdr:rowOff>273050</xdr:rowOff>
                  </to>
                </anchor>
              </controlPr>
            </control>
          </mc:Choice>
        </mc:AlternateContent>
        <mc:AlternateContent xmlns:mc="http://schemas.openxmlformats.org/markup-compatibility/2006">
          <mc:Choice Requires="x14">
            <control shapeId="3255" r:id="rId46" name="CO2_Capture_PCAT_Methane">
              <controlPr defaultSize="0" autoLine="0" autoPict="0" macro="[0]!CO2_Capture_PCAT_Methane_Change">
                <anchor moveWithCells="1">
                  <from>
                    <xdr:col>7</xdr:col>
                    <xdr:colOff>355600</xdr:colOff>
                    <xdr:row>147</xdr:row>
                    <xdr:rowOff>31750</xdr:rowOff>
                  </from>
                  <to>
                    <xdr:col>9</xdr:col>
                    <xdr:colOff>698500</xdr:colOff>
                    <xdr:row>147</xdr:row>
                    <xdr:rowOff>292100</xdr:rowOff>
                  </to>
                </anchor>
              </controlPr>
            </control>
          </mc:Choice>
        </mc:AlternateContent>
        <mc:AlternateContent xmlns:mc="http://schemas.openxmlformats.org/markup-compatibility/2006">
          <mc:Choice Requires="x14">
            <control shapeId="3256" r:id="rId47" name="Light_PCAT_Methanol">
              <controlPr defaultSize="0" autoLine="0" autoPict="0" macro="[0]!Light_PCAT_Methanol_Change">
                <anchor moveWithCells="1">
                  <from>
                    <xdr:col>7</xdr:col>
                    <xdr:colOff>355600</xdr:colOff>
                    <xdr:row>150</xdr:row>
                    <xdr:rowOff>19050</xdr:rowOff>
                  </from>
                  <to>
                    <xdr:col>9</xdr:col>
                    <xdr:colOff>698500</xdr:colOff>
                    <xdr:row>150</xdr:row>
                    <xdr:rowOff>279400</xdr:rowOff>
                  </to>
                </anchor>
              </controlPr>
            </control>
          </mc:Choice>
        </mc:AlternateContent>
        <mc:AlternateContent xmlns:mc="http://schemas.openxmlformats.org/markup-compatibility/2006">
          <mc:Choice Requires="x14">
            <control shapeId="3257" r:id="rId48" name="CO2_Capture_PCAT_Methanol">
              <controlPr defaultSize="0" autoLine="0" autoPict="0" macro="[0]!CO2_Capture_PCAT_Methanol_Change">
                <anchor moveWithCells="1">
                  <from>
                    <xdr:col>7</xdr:col>
                    <xdr:colOff>355600</xdr:colOff>
                    <xdr:row>152</xdr:row>
                    <xdr:rowOff>25400</xdr:rowOff>
                  </from>
                  <to>
                    <xdr:col>9</xdr:col>
                    <xdr:colOff>698500</xdr:colOff>
                    <xdr:row>152</xdr:row>
                    <xdr:rowOff>285750</xdr:rowOff>
                  </to>
                </anchor>
              </controlPr>
            </control>
          </mc:Choice>
        </mc:AlternateContent>
        <mc:AlternateContent xmlns:mc="http://schemas.openxmlformats.org/markup-compatibility/2006">
          <mc:Choice Requires="x14">
            <control shapeId="3258" r:id="rId49" name="Btn_Light_Reset">
              <controlPr defaultSize="0" print="0" autoFill="0" autoPict="0" macro="[0]!Btn_Light_Reset_Click">
                <anchor moveWithCells="1" sizeWithCells="1">
                  <from>
                    <xdr:col>8</xdr:col>
                    <xdr:colOff>12700</xdr:colOff>
                    <xdr:row>141</xdr:row>
                    <xdr:rowOff>31750</xdr:rowOff>
                  </from>
                  <to>
                    <xdr:col>10</xdr:col>
                    <xdr:colOff>44450</xdr:colOff>
                    <xdr:row>142</xdr:row>
                    <xdr:rowOff>184150</xdr:rowOff>
                  </to>
                </anchor>
              </controlPr>
            </control>
          </mc:Choice>
        </mc:AlternateContent>
        <mc:AlternateContent xmlns:mc="http://schemas.openxmlformats.org/markup-compatibility/2006">
          <mc:Choice Requires="x14">
            <control shapeId="3260" r:id="rId50" name="Hydrogen_D-H2_Diesel">
              <controlPr defaultSize="0" autoLine="0" autoPict="0" macro="[0]!Hydrogen_DH2_Diesel_Change">
                <anchor moveWithCells="1">
                  <from>
                    <xdr:col>7</xdr:col>
                    <xdr:colOff>355600</xdr:colOff>
                    <xdr:row>162</xdr:row>
                    <xdr:rowOff>25400</xdr:rowOff>
                  </from>
                  <to>
                    <xdr:col>9</xdr:col>
                    <xdr:colOff>698500</xdr:colOff>
                    <xdr:row>162</xdr:row>
                    <xdr:rowOff>285750</xdr:rowOff>
                  </to>
                </anchor>
              </controlPr>
            </control>
          </mc:Choice>
        </mc:AlternateContent>
        <mc:AlternateContent xmlns:mc="http://schemas.openxmlformats.org/markup-compatibility/2006">
          <mc:Choice Requires="x14">
            <control shapeId="3261" r:id="rId51" name="CO2_Capture_D-H2_Diesel">
              <controlPr defaultSize="0" autoLine="0" autoPict="0" macro="[0]!CO2_Capture_DH2_Diesel_Change">
                <anchor moveWithCells="1">
                  <from>
                    <xdr:col>7</xdr:col>
                    <xdr:colOff>355600</xdr:colOff>
                    <xdr:row>163</xdr:row>
                    <xdr:rowOff>31750</xdr:rowOff>
                  </from>
                  <to>
                    <xdr:col>9</xdr:col>
                    <xdr:colOff>698500</xdr:colOff>
                    <xdr:row>163</xdr:row>
                    <xdr:rowOff>292100</xdr:rowOff>
                  </to>
                </anchor>
              </controlPr>
            </control>
          </mc:Choice>
        </mc:AlternateContent>
        <mc:AlternateContent xmlns:mc="http://schemas.openxmlformats.org/markup-compatibility/2006">
          <mc:Choice Requires="x14">
            <control shapeId="3262" r:id="rId52" name="Hydrogen_D-H2_Methane">
              <controlPr defaultSize="0" autoLine="0" autoPict="0" macro="[0]!Hydrogen_DH2_Methane_Change">
                <anchor moveWithCells="1">
                  <from>
                    <xdr:col>7</xdr:col>
                    <xdr:colOff>355600</xdr:colOff>
                    <xdr:row>167</xdr:row>
                    <xdr:rowOff>25400</xdr:rowOff>
                  </from>
                  <to>
                    <xdr:col>9</xdr:col>
                    <xdr:colOff>698500</xdr:colOff>
                    <xdr:row>167</xdr:row>
                    <xdr:rowOff>285750</xdr:rowOff>
                  </to>
                </anchor>
              </controlPr>
            </control>
          </mc:Choice>
        </mc:AlternateContent>
        <mc:AlternateContent xmlns:mc="http://schemas.openxmlformats.org/markup-compatibility/2006">
          <mc:Choice Requires="x14">
            <control shapeId="3263" r:id="rId53" name="CO2_Capture_D-H2_Methane">
              <controlPr defaultSize="0" autoLine="0" autoPict="0" macro="[0]!CO2_Capture_DH2_Methane_Change">
                <anchor moveWithCells="1">
                  <from>
                    <xdr:col>7</xdr:col>
                    <xdr:colOff>355600</xdr:colOff>
                    <xdr:row>168</xdr:row>
                    <xdr:rowOff>31750</xdr:rowOff>
                  </from>
                  <to>
                    <xdr:col>9</xdr:col>
                    <xdr:colOff>698500</xdr:colOff>
                    <xdr:row>168</xdr:row>
                    <xdr:rowOff>292100</xdr:rowOff>
                  </to>
                </anchor>
              </controlPr>
            </control>
          </mc:Choice>
        </mc:AlternateContent>
        <mc:AlternateContent xmlns:mc="http://schemas.openxmlformats.org/markup-compatibility/2006">
          <mc:Choice Requires="x14">
            <control shapeId="3264" r:id="rId54" name="Electricity_D-H2_Methane">
              <controlPr defaultSize="0" autoLine="0" autoPict="0" macro="[0]!Electricity_DH2_Methane_Change">
                <anchor moveWithCells="1">
                  <from>
                    <xdr:col>7</xdr:col>
                    <xdr:colOff>355600</xdr:colOff>
                    <xdr:row>166</xdr:row>
                    <xdr:rowOff>38100</xdr:rowOff>
                  </from>
                  <to>
                    <xdr:col>9</xdr:col>
                    <xdr:colOff>698500</xdr:colOff>
                    <xdr:row>166</xdr:row>
                    <xdr:rowOff>292100</xdr:rowOff>
                  </to>
                </anchor>
              </controlPr>
            </control>
          </mc:Choice>
        </mc:AlternateContent>
        <mc:AlternateContent xmlns:mc="http://schemas.openxmlformats.org/markup-compatibility/2006">
          <mc:Choice Requires="x14">
            <control shapeId="3265" r:id="rId55" name="Hydrogen_D-H2_Methanol">
              <controlPr defaultSize="0" autoLine="0" autoPict="0" macro="[0]!Hydrogen_DH2_Methanol_Change">
                <anchor moveWithCells="1">
                  <from>
                    <xdr:col>7</xdr:col>
                    <xdr:colOff>355600</xdr:colOff>
                    <xdr:row>173</xdr:row>
                    <xdr:rowOff>25400</xdr:rowOff>
                  </from>
                  <to>
                    <xdr:col>9</xdr:col>
                    <xdr:colOff>698500</xdr:colOff>
                    <xdr:row>173</xdr:row>
                    <xdr:rowOff>285750</xdr:rowOff>
                  </to>
                </anchor>
              </controlPr>
            </control>
          </mc:Choice>
        </mc:AlternateContent>
        <mc:AlternateContent xmlns:mc="http://schemas.openxmlformats.org/markup-compatibility/2006">
          <mc:Choice Requires="x14">
            <control shapeId="3266" r:id="rId56" name="CO2_Capture_D-H2_Methanol">
              <controlPr defaultSize="0" autoLine="0" autoPict="0" macro="[0]!CO2_Capture_DH2_Methanol_Change">
                <anchor moveWithCells="1">
                  <from>
                    <xdr:col>7</xdr:col>
                    <xdr:colOff>355600</xdr:colOff>
                    <xdr:row>174</xdr:row>
                    <xdr:rowOff>31750</xdr:rowOff>
                  </from>
                  <to>
                    <xdr:col>9</xdr:col>
                    <xdr:colOff>698500</xdr:colOff>
                    <xdr:row>174</xdr:row>
                    <xdr:rowOff>292100</xdr:rowOff>
                  </to>
                </anchor>
              </controlPr>
            </control>
          </mc:Choice>
        </mc:AlternateContent>
        <mc:AlternateContent xmlns:mc="http://schemas.openxmlformats.org/markup-compatibility/2006">
          <mc:Choice Requires="x14">
            <control shapeId="3267" r:id="rId57" name="Electricity_D-H2_Methanol">
              <controlPr defaultSize="0" autoLine="0" autoPict="0" macro="[0]!Electricity_DH2_Methanol_Change">
                <anchor moveWithCells="1">
                  <from>
                    <xdr:col>7</xdr:col>
                    <xdr:colOff>355600</xdr:colOff>
                    <xdr:row>171</xdr:row>
                    <xdr:rowOff>38100</xdr:rowOff>
                  </from>
                  <to>
                    <xdr:col>9</xdr:col>
                    <xdr:colOff>698500</xdr:colOff>
                    <xdr:row>171</xdr:row>
                    <xdr:rowOff>292100</xdr:rowOff>
                  </to>
                </anchor>
              </controlPr>
            </control>
          </mc:Choice>
        </mc:AlternateContent>
        <mc:AlternateContent xmlns:mc="http://schemas.openxmlformats.org/markup-compatibility/2006">
          <mc:Choice Requires="x14">
            <control shapeId="3268" r:id="rId58" name="Heat_D-H2_Methanol">
              <controlPr defaultSize="0" autoLine="0" autoPict="0" macro="[0]!Heat_DH2_Methanol_Change">
                <anchor moveWithCells="1">
                  <from>
                    <xdr:col>7</xdr:col>
                    <xdr:colOff>355600</xdr:colOff>
                    <xdr:row>172</xdr:row>
                    <xdr:rowOff>31750</xdr:rowOff>
                  </from>
                  <to>
                    <xdr:col>9</xdr:col>
                    <xdr:colOff>698500</xdr:colOff>
                    <xdr:row>172</xdr:row>
                    <xdr:rowOff>279400</xdr:rowOff>
                  </to>
                </anchor>
              </controlPr>
            </control>
          </mc:Choice>
        </mc:AlternateContent>
        <mc:AlternateContent xmlns:mc="http://schemas.openxmlformats.org/markup-compatibility/2006">
          <mc:Choice Requires="x14">
            <control shapeId="3269" r:id="rId59" name="Btn_Hydrogen_Reset">
              <controlPr defaultSize="0" print="0" autoFill="0" autoPict="0" macro="[0]!Btn_Hydrogen_Reset_Click">
                <anchor moveWithCells="1" sizeWithCells="1">
                  <from>
                    <xdr:col>8</xdr:col>
                    <xdr:colOff>25400</xdr:colOff>
                    <xdr:row>158</xdr:row>
                    <xdr:rowOff>38100</xdr:rowOff>
                  </from>
                  <to>
                    <xdr:col>10</xdr:col>
                    <xdr:colOff>63500</xdr:colOff>
                    <xdr:row>159</xdr:row>
                    <xdr:rowOff>215900</xdr:rowOff>
                  </to>
                </anchor>
              </controlPr>
            </control>
          </mc:Choice>
        </mc:AlternateContent>
        <mc:AlternateContent xmlns:mc="http://schemas.openxmlformats.org/markup-compatibility/2006">
          <mc:Choice Requires="x14">
            <control shapeId="3271" r:id="rId60" name="chk_User_Electricity">
              <controlPr defaultSize="0" autoFill="0" autoLine="0" autoPict="0" macro="[0]!chk_User_Electricity_Click">
                <anchor moveWithCells="1">
                  <from>
                    <xdr:col>5</xdr:col>
                    <xdr:colOff>19050</xdr:colOff>
                    <xdr:row>9</xdr:row>
                    <xdr:rowOff>12700</xdr:rowOff>
                  </from>
                  <to>
                    <xdr:col>6</xdr:col>
                    <xdr:colOff>698500</xdr:colOff>
                    <xdr:row>10</xdr:row>
                    <xdr:rowOff>6350</xdr:rowOff>
                  </to>
                </anchor>
              </controlPr>
            </control>
          </mc:Choice>
        </mc:AlternateContent>
        <mc:AlternateContent xmlns:mc="http://schemas.openxmlformats.org/markup-compatibility/2006">
          <mc:Choice Requires="x14">
            <control shapeId="3273" r:id="rId61" name="chk_User_Steam">
              <controlPr defaultSize="0" autoFill="0" autoLine="0" autoPict="0" macro="[0]!chk_User_Steam_Click">
                <anchor moveWithCells="1">
                  <from>
                    <xdr:col>5</xdr:col>
                    <xdr:colOff>6350</xdr:colOff>
                    <xdr:row>13</xdr:row>
                    <xdr:rowOff>12700</xdr:rowOff>
                  </from>
                  <to>
                    <xdr:col>6</xdr:col>
                    <xdr:colOff>679450</xdr:colOff>
                    <xdr:row>13</xdr:row>
                    <xdr:rowOff>273050</xdr:rowOff>
                  </to>
                </anchor>
              </controlPr>
            </control>
          </mc:Choice>
        </mc:AlternateContent>
        <mc:AlternateContent xmlns:mc="http://schemas.openxmlformats.org/markup-compatibility/2006">
          <mc:Choice Requires="x14">
            <control shapeId="3274" r:id="rId62" name="chk_User_Hydrogen">
              <controlPr defaultSize="0" autoFill="0" autoLine="0" autoPict="0" macro="[0]!chk_User_Hydrogen_Click">
                <anchor moveWithCells="1">
                  <from>
                    <xdr:col>5</xdr:col>
                    <xdr:colOff>6350</xdr:colOff>
                    <xdr:row>15</xdr:row>
                    <xdr:rowOff>6350</xdr:rowOff>
                  </from>
                  <to>
                    <xdr:col>6</xdr:col>
                    <xdr:colOff>679450</xdr:colOff>
                    <xdr:row>15</xdr:row>
                    <xdr:rowOff>266700</xdr:rowOff>
                  </to>
                </anchor>
              </controlPr>
            </control>
          </mc:Choice>
        </mc:AlternateContent>
        <mc:AlternateContent xmlns:mc="http://schemas.openxmlformats.org/markup-compatibility/2006">
          <mc:Choice Requires="x14">
            <control shapeId="3275" r:id="rId63" name="chk_User_CO2">
              <controlPr defaultSize="0" autoFill="0" autoLine="0" autoPict="0" macro="[0]!chk_User_CO2_Click">
                <anchor moveWithCells="1">
                  <from>
                    <xdr:col>5</xdr:col>
                    <xdr:colOff>6350</xdr:colOff>
                    <xdr:row>17</xdr:row>
                    <xdr:rowOff>19050</xdr:rowOff>
                  </from>
                  <to>
                    <xdr:col>6</xdr:col>
                    <xdr:colOff>679450</xdr:colOff>
                    <xdr:row>17</xdr:row>
                    <xdr:rowOff>279400</xdr:rowOff>
                  </to>
                </anchor>
              </controlPr>
            </control>
          </mc:Choice>
        </mc:AlternateContent>
        <mc:AlternateContent xmlns:mc="http://schemas.openxmlformats.org/markup-compatibility/2006">
          <mc:Choice Requires="x14">
            <control shapeId="3276" r:id="rId64" name="chk_User_Heat">
              <controlPr defaultSize="0" autoFill="0" autoLine="0" autoPict="0" macro="[0]!chk_User_Heat_Click">
                <anchor moveWithCells="1">
                  <from>
                    <xdr:col>5</xdr:col>
                    <xdr:colOff>6350</xdr:colOff>
                    <xdr:row>11</xdr:row>
                    <xdr:rowOff>19050</xdr:rowOff>
                  </from>
                  <to>
                    <xdr:col>6</xdr:col>
                    <xdr:colOff>679450</xdr:colOff>
                    <xdr:row>11</xdr:row>
                    <xdr:rowOff>279400</xdr:rowOff>
                  </to>
                </anchor>
              </controlPr>
            </control>
          </mc:Choice>
        </mc:AlternateContent>
        <mc:AlternateContent xmlns:mc="http://schemas.openxmlformats.org/markup-compatibility/2006">
          <mc:Choice Requires="x14">
            <control shapeId="3277" r:id="rId65" name="Electricity_DMC-O_Magnesite">
              <controlPr defaultSize="0" autoLine="0" autoPict="0" macro="[0]!Electricity_DMCO_Magnesite_Change">
                <anchor moveWithCells="1">
                  <from>
                    <xdr:col>7</xdr:col>
                    <xdr:colOff>361950</xdr:colOff>
                    <xdr:row>51</xdr:row>
                    <xdr:rowOff>31750</xdr:rowOff>
                  </from>
                  <to>
                    <xdr:col>9</xdr:col>
                    <xdr:colOff>711200</xdr:colOff>
                    <xdr:row>51</xdr:row>
                    <xdr:rowOff>285750</xdr:rowOff>
                  </to>
                </anchor>
              </controlPr>
            </control>
          </mc:Choice>
        </mc:AlternateContent>
        <mc:AlternateContent xmlns:mc="http://schemas.openxmlformats.org/markup-compatibility/2006">
          <mc:Choice Requires="x14">
            <control shapeId="3278" r:id="rId66" name="Ddl_General_Electricity">
              <controlPr defaultSize="0" autoLine="0" autoPict="0">
                <anchor moveWithCells="1">
                  <from>
                    <xdr:col>2</xdr:col>
                    <xdr:colOff>406400</xdr:colOff>
                    <xdr:row>9</xdr:row>
                    <xdr:rowOff>0</xdr:rowOff>
                  </from>
                  <to>
                    <xdr:col>4</xdr:col>
                    <xdr:colOff>444500</xdr:colOff>
                    <xdr:row>9</xdr:row>
                    <xdr:rowOff>254000</xdr:rowOff>
                  </to>
                </anchor>
              </controlPr>
            </control>
          </mc:Choice>
        </mc:AlternateContent>
        <mc:AlternateContent xmlns:mc="http://schemas.openxmlformats.org/markup-compatibility/2006">
          <mc:Choice Requires="x14">
            <control shapeId="3279" r:id="rId67" name="Ddl_General_Heat">
              <controlPr defaultSize="0" autoLine="0" autoPict="0">
                <anchor moveWithCells="1">
                  <from>
                    <xdr:col>2</xdr:col>
                    <xdr:colOff>406400</xdr:colOff>
                    <xdr:row>11</xdr:row>
                    <xdr:rowOff>12700</xdr:rowOff>
                  </from>
                  <to>
                    <xdr:col>4</xdr:col>
                    <xdr:colOff>444500</xdr:colOff>
                    <xdr:row>12</xdr:row>
                    <xdr:rowOff>0</xdr:rowOff>
                  </to>
                </anchor>
              </controlPr>
            </control>
          </mc:Choice>
        </mc:AlternateContent>
        <mc:AlternateContent xmlns:mc="http://schemas.openxmlformats.org/markup-compatibility/2006">
          <mc:Choice Requires="x14">
            <control shapeId="3283" r:id="rId68" name="Ddl_General_Steam">
              <controlPr defaultSize="0" autoLine="0" autoPict="0">
                <anchor moveWithCells="1">
                  <from>
                    <xdr:col>2</xdr:col>
                    <xdr:colOff>406400</xdr:colOff>
                    <xdr:row>13</xdr:row>
                    <xdr:rowOff>19050</xdr:rowOff>
                  </from>
                  <to>
                    <xdr:col>4</xdr:col>
                    <xdr:colOff>444500</xdr:colOff>
                    <xdr:row>13</xdr:row>
                    <xdr:rowOff>298450</xdr:rowOff>
                  </to>
                </anchor>
              </controlPr>
            </control>
          </mc:Choice>
        </mc:AlternateContent>
        <mc:AlternateContent xmlns:mc="http://schemas.openxmlformats.org/markup-compatibility/2006">
          <mc:Choice Requires="x14">
            <control shapeId="3284" r:id="rId69" name="Ddl_General_Hydrogen">
              <controlPr defaultSize="0" autoLine="0" autoPict="0">
                <anchor moveWithCells="1">
                  <from>
                    <xdr:col>2</xdr:col>
                    <xdr:colOff>419100</xdr:colOff>
                    <xdr:row>15</xdr:row>
                    <xdr:rowOff>6350</xdr:rowOff>
                  </from>
                  <to>
                    <xdr:col>4</xdr:col>
                    <xdr:colOff>444500</xdr:colOff>
                    <xdr:row>15</xdr:row>
                    <xdr:rowOff>273050</xdr:rowOff>
                  </to>
                </anchor>
              </controlPr>
            </control>
          </mc:Choice>
        </mc:AlternateContent>
        <mc:AlternateContent xmlns:mc="http://schemas.openxmlformats.org/markup-compatibility/2006">
          <mc:Choice Requires="x14">
            <control shapeId="3285" r:id="rId70" name="Ddl_General_CO2_Capture">
              <controlPr defaultSize="0" autoLine="0" autoPict="0">
                <anchor moveWithCells="1">
                  <from>
                    <xdr:col>2</xdr:col>
                    <xdr:colOff>425450</xdr:colOff>
                    <xdr:row>17</xdr:row>
                    <xdr:rowOff>12700</xdr:rowOff>
                  </from>
                  <to>
                    <xdr:col>4</xdr:col>
                    <xdr:colOff>463550</xdr:colOff>
                    <xdr:row>17</xdr:row>
                    <xdr:rowOff>285750</xdr:rowOff>
                  </to>
                </anchor>
              </controlPr>
            </control>
          </mc:Choice>
        </mc:AlternateContent>
        <mc:AlternateContent xmlns:mc="http://schemas.openxmlformats.org/markup-compatibility/2006">
          <mc:Choice Requires="x14">
            <control shapeId="3286" r:id="rId71" name="Chk_Literature">
              <controlPr defaultSize="0" print="0" autoFill="0" autoLine="0" autoPict="0" macro="[0]!Chk_Literature_Click" altText="Show/Hide additional literature values">
                <anchor moveWithCells="1">
                  <from>
                    <xdr:col>9</xdr:col>
                    <xdr:colOff>12700</xdr:colOff>
                    <xdr:row>20</xdr:row>
                    <xdr:rowOff>25400</xdr:rowOff>
                  </from>
                  <to>
                    <xdr:col>10</xdr:col>
                    <xdr:colOff>317500</xdr:colOff>
                    <xdr:row>22</xdr:row>
                    <xdr:rowOff>101600</xdr:rowOff>
                  </to>
                </anchor>
              </controlPr>
            </control>
          </mc:Choice>
        </mc:AlternateContent>
      </controls>
    </mc:Choice>
  </mc:AlternateContent>
  <tableParts count="1">
    <tablePart r:id="rId7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23CD7-60B7-4726-A3D4-A51625D2E3B9}">
  <sheetPr codeName="Sheet11">
    <tabColor theme="4"/>
  </sheetPr>
  <dimension ref="A2:BZ42"/>
  <sheetViews>
    <sheetView zoomScaleNormal="100" workbookViewId="0">
      <selection activeCell="A3" sqref="A3"/>
    </sheetView>
  </sheetViews>
  <sheetFormatPr defaultColWidth="8.81640625" defaultRowHeight="14.5" x14ac:dyDescent="0.35"/>
  <cols>
    <col min="1" max="1" width="30.1796875" customWidth="1"/>
    <col min="2" max="2" width="13.1796875" customWidth="1"/>
    <col min="3" max="3" width="12.36328125" customWidth="1"/>
    <col min="4" max="4" width="15.1796875" bestFit="1" customWidth="1"/>
    <col min="5" max="5" width="19.453125" bestFit="1" customWidth="1"/>
    <col min="6" max="6" width="13.453125" bestFit="1" customWidth="1"/>
    <col min="7" max="7" width="15.1796875" bestFit="1" customWidth="1"/>
    <col min="8" max="8" width="11.6328125" customWidth="1"/>
    <col min="9" max="9" width="12.81640625" bestFit="1" customWidth="1"/>
    <col min="10" max="10" width="11.36328125" bestFit="1" customWidth="1"/>
    <col min="11" max="13" width="10" bestFit="1" customWidth="1"/>
    <col min="14" max="14" width="6.1796875" customWidth="1"/>
    <col min="15" max="15" width="9.36328125" customWidth="1"/>
    <col min="16" max="16" width="30.6328125" bestFit="1" customWidth="1"/>
    <col min="17" max="17" width="14" customWidth="1"/>
    <col min="18" max="18" width="9.6328125" customWidth="1"/>
    <col min="19" max="19" width="14.453125" customWidth="1"/>
    <col min="20" max="20" width="20.36328125" customWidth="1"/>
    <col min="21" max="21" width="12.1796875" customWidth="1"/>
    <col min="22" max="22" width="16.1796875" customWidth="1"/>
    <col min="23" max="23" width="9.453125" customWidth="1"/>
    <col min="24" max="24" width="3.90625" hidden="1" customWidth="1"/>
    <col min="25" max="25" width="19.81640625" hidden="1" customWidth="1"/>
    <col min="26" max="26" width="11" hidden="1" customWidth="1"/>
    <col min="27" max="27" width="13.1796875" hidden="1" customWidth="1"/>
    <col min="28" max="28" width="14.81640625" hidden="1" customWidth="1"/>
    <col min="29" max="29" width="15.1796875" hidden="1" customWidth="1"/>
    <col min="30" max="31" width="12.36328125" hidden="1" customWidth="1"/>
    <col min="32" max="32" width="9.81640625" hidden="1" customWidth="1"/>
    <col min="33" max="33" width="7.36328125" hidden="1" customWidth="1"/>
    <col min="34" max="34" width="5.1796875" customWidth="1"/>
    <col min="35" max="35" width="5.36328125" customWidth="1"/>
    <col min="36" max="36" width="24.453125" hidden="1" customWidth="1"/>
    <col min="37" max="46" width="0" hidden="1" customWidth="1"/>
    <col min="47" max="47" width="31.81640625" hidden="1" customWidth="1"/>
    <col min="48" max="48" width="13.1796875" hidden="1" customWidth="1"/>
    <col min="49" max="49" width="18.81640625" hidden="1" customWidth="1"/>
    <col min="50" max="50" width="11.81640625" hidden="1" customWidth="1"/>
    <col min="51" max="51" width="14.6328125" hidden="1" customWidth="1"/>
    <col min="52" max="53" width="11.81640625" hidden="1" customWidth="1"/>
    <col min="54" max="54" width="10.81640625" hidden="1" customWidth="1"/>
    <col min="55" max="55" width="2.6328125" hidden="1" customWidth="1"/>
    <col min="56" max="56" width="33.1796875" customWidth="1"/>
    <col min="57" max="57" width="12.81640625" bestFit="1" customWidth="1"/>
    <col min="58" max="58" width="12.6328125" bestFit="1" customWidth="1"/>
    <col min="59" max="59" width="16.36328125" bestFit="1" customWidth="1"/>
    <col min="60" max="60" width="10.36328125" hidden="1" customWidth="1"/>
    <col min="61" max="61" width="32.453125" hidden="1" customWidth="1"/>
    <col min="62" max="62" width="8.54296875" customWidth="1"/>
    <col min="63" max="63" width="3.90625" customWidth="1"/>
    <col min="64" max="64" width="28.54296875" customWidth="1"/>
    <col min="65" max="65" width="14.6328125" customWidth="1"/>
    <col min="66" max="66" width="12.1796875" bestFit="1" customWidth="1"/>
    <col min="67" max="67" width="10.453125" customWidth="1"/>
    <col min="68" max="68" width="12.6328125" customWidth="1"/>
    <col min="69" max="69" width="12.6328125" hidden="1" customWidth="1"/>
    <col min="70" max="70" width="32.453125" hidden="1" customWidth="1"/>
    <col min="71" max="71" width="5.36328125" customWidth="1"/>
    <col min="72" max="72" width="7" customWidth="1"/>
    <col min="73" max="73" width="9.90625" customWidth="1"/>
    <col min="74" max="74" width="11" bestFit="1" customWidth="1"/>
    <col min="75" max="75" width="29.6328125" bestFit="1" customWidth="1"/>
    <col min="76" max="76" width="5.36328125" customWidth="1"/>
    <col min="77" max="77" width="28.453125" customWidth="1"/>
  </cols>
  <sheetData>
    <row r="2" spans="1:78" x14ac:dyDescent="0.35">
      <c r="O2" s="3" t="s">
        <v>186</v>
      </c>
      <c r="P2" s="4"/>
      <c r="Q2" s="4"/>
      <c r="R2" s="4"/>
      <c r="S2" s="4"/>
      <c r="T2" s="4"/>
      <c r="U2" s="4"/>
      <c r="V2" s="4"/>
      <c r="W2" s="4"/>
      <c r="X2" s="4"/>
      <c r="Y2" s="4"/>
      <c r="Z2" s="4"/>
      <c r="AA2" s="4"/>
      <c r="AB2" s="4"/>
      <c r="AC2" s="4"/>
      <c r="AD2" s="4"/>
      <c r="AE2" s="4"/>
      <c r="AF2" s="4"/>
      <c r="AG2" s="4"/>
      <c r="AH2" s="5"/>
      <c r="AJ2" s="3" t="s">
        <v>186</v>
      </c>
      <c r="AK2" s="4"/>
      <c r="AL2" s="4"/>
      <c r="AM2" s="4"/>
      <c r="AN2" s="4"/>
      <c r="AO2" s="4"/>
      <c r="AP2" s="4"/>
      <c r="AQ2" s="4"/>
      <c r="AR2" s="4"/>
      <c r="AS2" s="4"/>
      <c r="AT2" s="4"/>
      <c r="AU2" s="4"/>
      <c r="AV2" s="4"/>
      <c r="AW2" s="4"/>
      <c r="AX2" s="4"/>
      <c r="AY2" s="4"/>
      <c r="AZ2" s="4"/>
      <c r="BA2" s="4"/>
      <c r="BB2" s="5"/>
      <c r="BD2" s="3" t="s">
        <v>186</v>
      </c>
      <c r="BE2" s="4"/>
      <c r="BF2" s="4"/>
      <c r="BG2" s="4"/>
      <c r="BH2" s="4"/>
      <c r="BI2" s="4"/>
      <c r="BJ2" s="5"/>
      <c r="BL2" s="3" t="s">
        <v>186</v>
      </c>
      <c r="BM2" s="4"/>
      <c r="BN2" s="4"/>
      <c r="BO2" s="4"/>
      <c r="BP2" s="4"/>
      <c r="BQ2" s="4"/>
      <c r="BR2" s="4"/>
      <c r="BS2" s="5"/>
    </row>
    <row r="3" spans="1:78" ht="16.5" x14ac:dyDescent="0.45">
      <c r="A3" s="3" t="s">
        <v>186</v>
      </c>
      <c r="B3" s="4"/>
      <c r="C3" s="4"/>
      <c r="D3" s="4"/>
      <c r="E3" s="4"/>
      <c r="F3" s="4"/>
      <c r="G3" s="4"/>
      <c r="H3" s="4"/>
      <c r="I3" s="4"/>
      <c r="J3" s="4"/>
      <c r="K3" s="4"/>
      <c r="L3" s="4"/>
      <c r="M3" s="5"/>
      <c r="O3" s="194" t="s">
        <v>587</v>
      </c>
      <c r="P3" s="12"/>
      <c r="Q3" s="12"/>
      <c r="R3" s="12"/>
      <c r="S3" s="12"/>
      <c r="T3" s="12"/>
      <c r="U3" s="12"/>
      <c r="V3" s="12"/>
      <c r="W3" s="12"/>
      <c r="X3" s="12"/>
      <c r="Y3" s="12"/>
      <c r="Z3" s="12"/>
      <c r="AA3" s="12"/>
      <c r="AB3" s="12"/>
      <c r="AC3" s="12"/>
      <c r="AD3" s="12"/>
      <c r="AE3" s="12"/>
      <c r="AF3" s="12"/>
      <c r="AG3" s="12"/>
      <c r="AH3" s="25"/>
      <c r="AJ3" s="194" t="s">
        <v>134</v>
      </c>
      <c r="AK3" s="12"/>
      <c r="AL3" s="12"/>
      <c r="AM3" s="12"/>
      <c r="AN3" s="12"/>
      <c r="AO3" s="12"/>
      <c r="AP3" s="12"/>
      <c r="AQ3" s="12"/>
      <c r="AR3" s="12"/>
      <c r="AS3" s="12"/>
      <c r="AT3" s="12"/>
      <c r="AU3" s="12"/>
      <c r="AV3" s="12"/>
      <c r="AW3" s="12"/>
      <c r="AX3" s="12"/>
      <c r="AY3" s="12"/>
      <c r="AZ3" s="12"/>
      <c r="BA3" s="12"/>
      <c r="BB3" s="25"/>
      <c r="BD3" s="194" t="s">
        <v>200</v>
      </c>
      <c r="BE3" s="12"/>
      <c r="BF3" s="12"/>
      <c r="BG3" s="397" t="s">
        <v>591</v>
      </c>
      <c r="BH3" s="12"/>
      <c r="BI3" s="12"/>
      <c r="BJ3" s="25"/>
      <c r="BL3" s="194" t="s">
        <v>207</v>
      </c>
      <c r="BM3" s="12"/>
      <c r="BN3" s="12"/>
      <c r="BO3" s="464" t="s">
        <v>591</v>
      </c>
      <c r="BP3" s="464"/>
      <c r="BQ3" s="12"/>
      <c r="BR3" s="12"/>
      <c r="BS3" s="25"/>
      <c r="BV3" t="s">
        <v>344</v>
      </c>
    </row>
    <row r="4" spans="1:78" ht="16.5" x14ac:dyDescent="0.45">
      <c r="A4" s="194" t="s">
        <v>590</v>
      </c>
      <c r="B4" s="464" t="s">
        <v>591</v>
      </c>
      <c r="C4" s="464"/>
      <c r="D4" s="464"/>
      <c r="E4" s="464"/>
      <c r="F4" s="464"/>
      <c r="G4" s="464"/>
      <c r="H4" s="464"/>
      <c r="I4" s="464"/>
      <c r="J4" s="464"/>
      <c r="K4" s="464"/>
      <c r="L4" s="464"/>
      <c r="M4" s="487"/>
      <c r="O4" s="11"/>
      <c r="P4" s="87"/>
      <c r="Q4" s="87"/>
      <c r="R4" s="464" t="s">
        <v>591</v>
      </c>
      <c r="S4" s="464"/>
      <c r="T4" s="464"/>
      <c r="U4" s="464"/>
      <c r="V4" s="464"/>
      <c r="W4" s="464"/>
      <c r="X4" s="189"/>
      <c r="Y4" s="12"/>
      <c r="Z4" s="12"/>
      <c r="AA4" s="12"/>
      <c r="AB4" s="12"/>
      <c r="AC4" s="12"/>
      <c r="AD4" s="12"/>
      <c r="AE4" s="12"/>
      <c r="AF4" s="12"/>
      <c r="AG4" s="12"/>
      <c r="AH4" s="197"/>
      <c r="AI4" s="86"/>
      <c r="AJ4" s="11"/>
      <c r="AK4" s="12"/>
      <c r="AL4" s="12"/>
      <c r="AM4" s="12"/>
      <c r="AN4" s="12"/>
      <c r="AO4" s="12"/>
      <c r="AP4" s="12"/>
      <c r="AQ4" s="12"/>
      <c r="AR4" s="12"/>
      <c r="AS4" s="12" t="s">
        <v>209</v>
      </c>
      <c r="AT4" s="12"/>
      <c r="AU4" s="12"/>
      <c r="AV4" s="12"/>
      <c r="AW4" s="12"/>
      <c r="AX4" s="12"/>
      <c r="AY4" s="12"/>
      <c r="AZ4" s="12"/>
      <c r="BA4" s="12"/>
      <c r="BB4" s="25"/>
      <c r="BD4" s="11"/>
      <c r="BE4" s="12"/>
      <c r="BF4" s="12"/>
      <c r="BG4" s="12" t="s">
        <v>588</v>
      </c>
      <c r="BH4" s="12"/>
      <c r="BI4" s="12"/>
      <c r="BJ4" s="25"/>
      <c r="BL4" s="11"/>
      <c r="BM4" s="12"/>
      <c r="BN4" s="12"/>
      <c r="BO4" s="12"/>
      <c r="BP4" s="12" t="s">
        <v>589</v>
      </c>
      <c r="BQ4" s="12"/>
      <c r="BR4" s="12"/>
      <c r="BS4" s="25"/>
    </row>
    <row r="5" spans="1:78" x14ac:dyDescent="0.35">
      <c r="A5" s="11" t="s">
        <v>83</v>
      </c>
      <c r="B5" s="12" t="s">
        <v>84</v>
      </c>
      <c r="C5" s="12" t="s">
        <v>85</v>
      </c>
      <c r="D5" s="12" t="s">
        <v>511</v>
      </c>
      <c r="E5" s="12" t="s">
        <v>503</v>
      </c>
      <c r="F5" s="12" t="s">
        <v>143</v>
      </c>
      <c r="G5" s="12" t="s">
        <v>504</v>
      </c>
      <c r="H5" s="12" t="s">
        <v>62</v>
      </c>
      <c r="I5" s="12" t="s">
        <v>33</v>
      </c>
      <c r="J5" s="189" t="s">
        <v>136</v>
      </c>
      <c r="K5" s="189" t="s">
        <v>137</v>
      </c>
      <c r="L5" s="189" t="s">
        <v>138</v>
      </c>
      <c r="M5" s="190" t="s">
        <v>139</v>
      </c>
      <c r="O5" s="11" t="s">
        <v>85</v>
      </c>
      <c r="P5" s="12" t="s">
        <v>83</v>
      </c>
      <c r="Q5" s="12" t="s">
        <v>84</v>
      </c>
      <c r="R5" s="12" t="s">
        <v>511</v>
      </c>
      <c r="S5" s="12" t="s">
        <v>503</v>
      </c>
      <c r="T5" s="12" t="s">
        <v>143</v>
      </c>
      <c r="U5" s="12" t="s">
        <v>504</v>
      </c>
      <c r="V5" s="12" t="s">
        <v>62</v>
      </c>
      <c r="W5" s="12" t="s">
        <v>33</v>
      </c>
      <c r="X5" s="12"/>
      <c r="Y5" s="12"/>
      <c r="Z5" s="12"/>
      <c r="AA5" s="12"/>
      <c r="AB5" s="12"/>
      <c r="AC5" s="12"/>
      <c r="AD5" s="12"/>
      <c r="AE5" s="12"/>
      <c r="AF5" s="12"/>
      <c r="AG5" s="12"/>
      <c r="AH5" s="25"/>
      <c r="AJ5" s="11" t="s">
        <v>83</v>
      </c>
      <c r="AK5" s="12" t="s">
        <v>84</v>
      </c>
      <c r="AL5" s="12" t="s">
        <v>85</v>
      </c>
      <c r="AM5" s="12" t="s">
        <v>61</v>
      </c>
      <c r="AN5" s="12" t="s">
        <v>15</v>
      </c>
      <c r="AO5" s="12" t="s">
        <v>143</v>
      </c>
      <c r="AP5" s="12" t="s">
        <v>60</v>
      </c>
      <c r="AQ5" s="12" t="s">
        <v>62</v>
      </c>
      <c r="AR5" s="12" t="s">
        <v>33</v>
      </c>
      <c r="AS5" s="189" t="s">
        <v>203</v>
      </c>
      <c r="AT5" s="189"/>
      <c r="AU5" s="200" t="s">
        <v>187</v>
      </c>
      <c r="AV5" s="12" t="s">
        <v>193</v>
      </c>
      <c r="AW5" s="12" t="s">
        <v>192</v>
      </c>
      <c r="AX5" s="12" t="s">
        <v>191</v>
      </c>
      <c r="AY5" s="12" t="s">
        <v>189</v>
      </c>
      <c r="AZ5" s="12" t="s">
        <v>190</v>
      </c>
      <c r="BA5" s="12" t="s">
        <v>194</v>
      </c>
      <c r="BB5" s="25" t="s">
        <v>204</v>
      </c>
      <c r="BD5" s="11" t="s">
        <v>83</v>
      </c>
      <c r="BE5" s="12" t="s">
        <v>84</v>
      </c>
      <c r="BF5" s="12" t="s">
        <v>85</v>
      </c>
      <c r="BG5" s="12" t="s">
        <v>200</v>
      </c>
      <c r="BH5" s="12"/>
      <c r="BI5" s="12"/>
      <c r="BJ5" s="25"/>
      <c r="BL5" s="11" t="s">
        <v>83</v>
      </c>
      <c r="BM5" s="12" t="s">
        <v>84</v>
      </c>
      <c r="BN5" s="12" t="s">
        <v>85</v>
      </c>
      <c r="BO5" s="12" t="s">
        <v>208</v>
      </c>
      <c r="BP5" s="12" t="s">
        <v>207</v>
      </c>
      <c r="BQ5" s="12"/>
      <c r="BR5" s="12"/>
      <c r="BS5" s="25"/>
      <c r="BV5" t="s">
        <v>48</v>
      </c>
      <c r="BW5" t="s">
        <v>277</v>
      </c>
      <c r="BZ5" t="s">
        <v>278</v>
      </c>
    </row>
    <row r="6" spans="1:78" x14ac:dyDescent="0.35">
      <c r="A6" s="11" t="s">
        <v>502</v>
      </c>
      <c r="B6" s="12" t="str">
        <f>Mineralization!AI13</f>
        <v>WMC</v>
      </c>
      <c r="C6" s="12" t="str">
        <f>Mineralization!AJ13</f>
        <v>CWM</v>
      </c>
      <c r="D6" s="55">
        <f>Mineralization!AK13</f>
        <v>-1</v>
      </c>
      <c r="E6" s="55">
        <f>Mineralization!AL13</f>
        <v>0.18</v>
      </c>
      <c r="F6" s="55">
        <f>Mineralization!AM13</f>
        <v>0</v>
      </c>
      <c r="G6" s="55">
        <f>Mineralization!AN13</f>
        <v>0.14243291059706667</v>
      </c>
      <c r="H6" s="55">
        <f>Mineralization!AO13</f>
        <v>2.1856377952755904E-3</v>
      </c>
      <c r="I6" s="55">
        <f>Mineralization!AP13</f>
        <v>-0.67538145160765772</v>
      </c>
      <c r="J6" s="55">
        <f>Mineralization!AQ13</f>
        <v>-0.57799999999999996</v>
      </c>
      <c r="K6" s="55">
        <f>Mineralization!AR13</f>
        <v>-0.68400000000000005</v>
      </c>
      <c r="L6" s="55">
        <f>Mineralization!AS13</f>
        <v>-0.70799999999999996</v>
      </c>
      <c r="M6" s="191">
        <f>Mineralization!AT13</f>
        <v>-0.625</v>
      </c>
      <c r="O6" s="11" t="s">
        <v>89</v>
      </c>
      <c r="P6" s="12" t="s">
        <v>502</v>
      </c>
      <c r="Q6" s="12" t="s">
        <v>88</v>
      </c>
      <c r="R6" s="192">
        <f>Mineralization!AU13</f>
        <v>-0.20222929936305734</v>
      </c>
      <c r="S6" s="192">
        <f>Mineralization!AV13</f>
        <v>3.6401273885350319E-2</v>
      </c>
      <c r="T6" s="192">
        <f>Mineralization!AW13</f>
        <v>0</v>
      </c>
      <c r="U6" s="192">
        <f>Mineralization!AX13</f>
        <v>0</v>
      </c>
      <c r="V6" s="192">
        <f>Mineralization!AY13</f>
        <v>4.4200000000000001E-4</v>
      </c>
      <c r="W6" s="192">
        <f>Mineralization!AZ13</f>
        <v>-0.13658191776142126</v>
      </c>
      <c r="X6" s="196"/>
      <c r="Y6" s="12"/>
      <c r="Z6" s="12"/>
      <c r="AA6" s="12"/>
      <c r="AB6" s="12"/>
      <c r="AC6" s="12"/>
      <c r="AD6" s="12"/>
      <c r="AE6" s="12"/>
      <c r="AF6" s="12"/>
      <c r="AG6" s="12"/>
      <c r="AH6" s="25"/>
      <c r="AI6" s="79"/>
      <c r="AJ6" s="195" t="s">
        <v>86</v>
      </c>
      <c r="AK6" s="55" t="s">
        <v>49</v>
      </c>
      <c r="AL6" s="55" t="s">
        <v>51</v>
      </c>
      <c r="AM6" s="55">
        <f>'Involving Electricity'!BH17</f>
        <v>-5.4560000000000004E-2</v>
      </c>
      <c r="AN6" s="55">
        <f>'Involving Electricity'!BI17</f>
        <v>1.0951200000000001E-2</v>
      </c>
      <c r="AO6" s="55">
        <f>'Involving Electricity'!BJ17</f>
        <v>5.0224999999999999E-2</v>
      </c>
      <c r="AP6" s="55">
        <f>'Involving Electricity'!BK17</f>
        <v>0.14899124810126582</v>
      </c>
      <c r="AQ6" s="55">
        <f>'Involving Electricity'!BL17</f>
        <v>5.5E-2</v>
      </c>
      <c r="AR6" s="55">
        <f>'Involving Electricity'!BM17</f>
        <v>0.2106074481012658</v>
      </c>
      <c r="AS6" s="12">
        <f>'Emission Factors'!$Q$30</f>
        <v>0</v>
      </c>
      <c r="AT6" s="12"/>
      <c r="AU6" s="20" t="s">
        <v>177</v>
      </c>
      <c r="AV6" s="201">
        <v>-0.1487111702408174</v>
      </c>
      <c r="AW6" s="201">
        <v>1.0627617194285273E-3</v>
      </c>
      <c r="AX6" s="201">
        <v>4.4613844343350945E-3</v>
      </c>
      <c r="AY6" s="201">
        <v>0.30052512240825463</v>
      </c>
      <c r="AZ6" s="201">
        <v>0.13611598125994126</v>
      </c>
      <c r="BA6" s="201">
        <v>0.29345407958114211</v>
      </c>
      <c r="BB6" s="199">
        <v>0.14000000000000001</v>
      </c>
      <c r="BD6" s="204" t="s">
        <v>502</v>
      </c>
      <c r="BE6" s="12" t="s">
        <v>88</v>
      </c>
      <c r="BF6" s="12" t="s">
        <v>89</v>
      </c>
      <c r="BG6" s="55">
        <f>Mineralization!BE13</f>
        <v>0.95658191776142121</v>
      </c>
      <c r="BH6" s="55"/>
      <c r="BI6" s="12"/>
      <c r="BJ6" s="25"/>
      <c r="BL6" s="11" t="s">
        <v>502</v>
      </c>
      <c r="BM6" s="12" t="s">
        <v>88</v>
      </c>
      <c r="BN6" s="12" t="s">
        <v>89</v>
      </c>
      <c r="BO6" s="205">
        <f>Mineralization!BF13</f>
        <v>2.1044802190751266</v>
      </c>
      <c r="BP6" s="206">
        <f>IF(BO6&gt;0,BO6,0)</f>
        <v>2.1044802190751266</v>
      </c>
      <c r="BQ6" s="12"/>
      <c r="BR6" s="12"/>
      <c r="BS6" s="25"/>
      <c r="BU6">
        <v>1</v>
      </c>
      <c r="BV6" t="s">
        <v>89</v>
      </c>
      <c r="BW6" t="s">
        <v>87</v>
      </c>
      <c r="BY6" t="s">
        <v>87</v>
      </c>
      <c r="BZ6" t="s">
        <v>88</v>
      </c>
    </row>
    <row r="7" spans="1:78" x14ac:dyDescent="0.35">
      <c r="A7" s="11"/>
      <c r="B7" s="12" t="str">
        <f>Mineralization!AI14</f>
        <v>DMC-W</v>
      </c>
      <c r="C7" s="12" t="str">
        <f>Mineralization!AJ14</f>
        <v>Calcite</v>
      </c>
      <c r="D7" s="55">
        <f>Mineralization!AK14</f>
        <v>-1</v>
      </c>
      <c r="E7" s="55">
        <f>Mineralization!AL14</f>
        <v>0.18</v>
      </c>
      <c r="F7" s="55">
        <f>Mineralization!AM14</f>
        <v>0</v>
      </c>
      <c r="G7" s="55">
        <f>Mineralization!AN14</f>
        <v>0.24915535420008025</v>
      </c>
      <c r="H7" s="55">
        <f>Mineralization!AO14</f>
        <v>6.5965309382257336E-4</v>
      </c>
      <c r="I7" s="55">
        <f>Mineralization!AP14</f>
        <v>-0.57018499270609724</v>
      </c>
      <c r="J7" s="55">
        <f>Mineralization!AQ14</f>
        <v>-0.58799999999999997</v>
      </c>
      <c r="K7" s="12"/>
      <c r="L7" s="12"/>
      <c r="M7" s="25"/>
      <c r="O7" s="11" t="s">
        <v>91</v>
      </c>
      <c r="P7" s="12" t="s">
        <v>502</v>
      </c>
      <c r="Q7" s="12" t="s">
        <v>90</v>
      </c>
      <c r="R7" s="192">
        <f>Mineralization!AU14</f>
        <v>-0.65185777801514699</v>
      </c>
      <c r="S7" s="192">
        <f>Mineralization!AV14</f>
        <v>0.11733440004272645</v>
      </c>
      <c r="T7" s="192">
        <f>Mineralization!AW14</f>
        <v>0</v>
      </c>
      <c r="U7" s="192">
        <f>Mineralization!AX14</f>
        <v>0.16241385556944124</v>
      </c>
      <c r="V7" s="192">
        <f>Mineralization!AY14</f>
        <v>4.2999999999999999E-4</v>
      </c>
      <c r="W7" s="192">
        <f>Mineralization!AZ14</f>
        <v>-0.3716795224029793</v>
      </c>
      <c r="X7" s="196"/>
      <c r="Y7" s="12"/>
      <c r="Z7" s="12"/>
      <c r="AA7" s="12"/>
      <c r="AB7" s="12"/>
      <c r="AC7" s="12"/>
      <c r="AD7" s="12"/>
      <c r="AE7" s="12"/>
      <c r="AF7" s="12"/>
      <c r="AG7" s="12"/>
      <c r="AH7" s="25"/>
      <c r="AI7" s="79"/>
      <c r="AJ7" s="195" t="s">
        <v>86</v>
      </c>
      <c r="AK7" s="55" t="s">
        <v>49</v>
      </c>
      <c r="AL7" s="55" t="s">
        <v>53</v>
      </c>
      <c r="AM7" s="55">
        <f>'Involving Electricity'!BH18</f>
        <v>-6.7880959490395146E-2</v>
      </c>
      <c r="AN7" s="55">
        <f>'Involving Electricity'!BI18</f>
        <v>1.3624962675425501E-2</v>
      </c>
      <c r="AO7" s="55">
        <f>'Involving Electricity'!BJ18</f>
        <v>0.21227710772029687</v>
      </c>
      <c r="AP7" s="55">
        <f>'Involving Electricity'!BK18</f>
        <v>3.8807106598984765E-2</v>
      </c>
      <c r="AQ7" s="55">
        <f>'Involving Electricity'!BL18</f>
        <v>6.805799062997063E-2</v>
      </c>
      <c r="AR7" s="55">
        <f>'Involving Electricity'!BM18</f>
        <v>0.2648862081342826</v>
      </c>
      <c r="AS7" s="12" t="e">
        <f>'Emission Factors'!#REF!</f>
        <v>#REF!</v>
      </c>
      <c r="AT7" s="12"/>
      <c r="AU7" s="202" t="s">
        <v>172</v>
      </c>
      <c r="AV7" s="201">
        <v>-0.10239728167204044</v>
      </c>
      <c r="AW7" s="201">
        <v>7.3051767104702532E-4</v>
      </c>
      <c r="AX7" s="201">
        <v>0</v>
      </c>
      <c r="AY7" s="201">
        <v>0.2428936557813883</v>
      </c>
      <c r="AZ7" s="201">
        <v>6.805799062997063E-2</v>
      </c>
      <c r="BA7" s="201">
        <v>0.20928488241036552</v>
      </c>
      <c r="BB7" s="199">
        <v>7.0000000000000007E-2</v>
      </c>
      <c r="BD7" s="204"/>
      <c r="BE7" s="12" t="s">
        <v>90</v>
      </c>
      <c r="BF7" s="12" t="s">
        <v>91</v>
      </c>
      <c r="BG7" s="55">
        <f>Mineralization!BE14</f>
        <v>1.1916795224029793</v>
      </c>
      <c r="BH7" s="55"/>
      <c r="BI7" s="12"/>
      <c r="BJ7" s="25"/>
      <c r="BL7" s="11"/>
      <c r="BM7" s="12" t="s">
        <v>90</v>
      </c>
      <c r="BN7" s="12" t="s">
        <v>91</v>
      </c>
      <c r="BO7" s="205">
        <f>Mineralization!BF14</f>
        <v>2.6216949492865544</v>
      </c>
      <c r="BP7" s="206">
        <f>IF(BO7&gt;0,BO7,0)</f>
        <v>2.6216949492865544</v>
      </c>
      <c r="BQ7" s="12"/>
      <c r="BR7" s="12"/>
      <c r="BS7" s="25"/>
      <c r="BU7">
        <v>2</v>
      </c>
      <c r="BV7" t="s">
        <v>91</v>
      </c>
      <c r="BW7" t="s">
        <v>279</v>
      </c>
      <c r="BY7" t="s">
        <v>87</v>
      </c>
      <c r="BZ7" t="s">
        <v>90</v>
      </c>
    </row>
    <row r="8" spans="1:78" x14ac:dyDescent="0.35">
      <c r="A8" s="11"/>
      <c r="B8" s="12" t="s">
        <v>280</v>
      </c>
      <c r="C8" s="12" t="s">
        <v>281</v>
      </c>
      <c r="D8" s="55">
        <f>Mineralization!AK15</f>
        <v>-1</v>
      </c>
      <c r="E8" s="55">
        <f>Mineralization!AL15</f>
        <v>0.18</v>
      </c>
      <c r="F8" s="55">
        <f>Mineralization!AM15</f>
        <v>0</v>
      </c>
      <c r="G8" s="55">
        <f>Mineralization!AN15</f>
        <v>0.46775464761873248</v>
      </c>
      <c r="H8" s="55">
        <f>Mineralization!AO15</f>
        <v>8.4377962529790104E-4</v>
      </c>
      <c r="I8" s="55">
        <f>Mineralization!AP15</f>
        <v>-0.35140157275596967</v>
      </c>
      <c r="J8" s="55">
        <f>Mineralization!AQ15</f>
        <v>-0.47699999999999998</v>
      </c>
      <c r="K8" s="55">
        <f>Mineralization!AR15</f>
        <v>-0.46600000000000003</v>
      </c>
      <c r="L8" s="55">
        <f>Mineralization!AS15</f>
        <v>-0.21299999999999999</v>
      </c>
      <c r="M8" s="25"/>
      <c r="O8" s="11" t="s">
        <v>281</v>
      </c>
      <c r="P8" s="12" t="s">
        <v>502</v>
      </c>
      <c r="Q8" s="12" t="s">
        <v>280</v>
      </c>
      <c r="R8" s="192">
        <f>Mineralization!AU15</f>
        <v>-0.52146317214599203</v>
      </c>
      <c r="S8" s="192">
        <f>Mineralization!AV15</f>
        <v>9.386337098627856E-2</v>
      </c>
      <c r="T8" s="192">
        <f>Mineralization!AW15</f>
        <v>0</v>
      </c>
      <c r="U8" s="192">
        <f>Mineralization!AX15</f>
        <v>0.24391682233329492</v>
      </c>
      <c r="V8" s="192">
        <f>Mineralization!AY15</f>
        <v>4.4000000000000002E-4</v>
      </c>
      <c r="W8" s="192">
        <f>Mineralization!AZ15</f>
        <v>-0.18324297882641855</v>
      </c>
      <c r="X8" s="196"/>
      <c r="Y8" s="12"/>
      <c r="Z8" s="12"/>
      <c r="AA8" s="12"/>
      <c r="AB8" s="12"/>
      <c r="AC8" s="12"/>
      <c r="AD8" s="12"/>
      <c r="AE8" s="12"/>
      <c r="AF8" s="12"/>
      <c r="AG8" s="12"/>
      <c r="AH8" s="25"/>
      <c r="AI8" s="79"/>
      <c r="AJ8" s="195" t="s">
        <v>86</v>
      </c>
      <c r="AK8" s="55" t="s">
        <v>49</v>
      </c>
      <c r="AL8" s="55" t="s">
        <v>55</v>
      </c>
      <c r="AM8" s="55">
        <f>'Involving Electricity'!BH19</f>
        <v>-7.2541447961708333E-2</v>
      </c>
      <c r="AN8" s="55">
        <f>'Involving Electricity'!BI19</f>
        <v>1.4560408814484241E-2</v>
      </c>
      <c r="AO8" s="55">
        <f>'Involving Electricity'!BJ19</f>
        <v>0</v>
      </c>
      <c r="AP8" s="55">
        <f>'Involving Electricity'!BK19</f>
        <v>0.22378949443482291</v>
      </c>
      <c r="AQ8" s="55">
        <f>'Involving Electricity'!BL19</f>
        <v>7.1912502601336512E-2</v>
      </c>
      <c r="AR8" s="55">
        <f>'Involving Electricity'!BM19</f>
        <v>0.23772095788893532</v>
      </c>
      <c r="AS8" s="12" t="e">
        <f>'Emission Factors'!#REF!</f>
        <v>#REF!</v>
      </c>
      <c r="AT8" s="12"/>
      <c r="AU8" s="203" t="s">
        <v>53</v>
      </c>
      <c r="AV8" s="201">
        <v>-0.10239728167204044</v>
      </c>
      <c r="AW8" s="201">
        <v>7.3051767104702532E-4</v>
      </c>
      <c r="AX8" s="201">
        <v>0</v>
      </c>
      <c r="AY8" s="201">
        <v>0.2428936557813883</v>
      </c>
      <c r="AZ8" s="201">
        <v>6.805799062997063E-2</v>
      </c>
      <c r="BA8" s="201">
        <v>0.20928488241036552</v>
      </c>
      <c r="BB8" s="199">
        <v>7.0000000000000007E-2</v>
      </c>
      <c r="BD8" s="204"/>
      <c r="BE8" s="12" t="s">
        <v>280</v>
      </c>
      <c r="BF8" s="12" t="s">
        <v>281</v>
      </c>
      <c r="BG8" s="55">
        <f>Mineralization!BE15</f>
        <v>1.0032429788264186</v>
      </c>
      <c r="BH8" s="55"/>
      <c r="BI8" s="12"/>
      <c r="BJ8" s="25"/>
      <c r="BL8" s="11"/>
      <c r="BM8" s="12" t="s">
        <v>280</v>
      </c>
      <c r="BN8" s="12" t="s">
        <v>281</v>
      </c>
      <c r="BO8" s="205">
        <f>Mineralization!BF15</f>
        <v>2.207134553418121</v>
      </c>
      <c r="BP8" s="206">
        <f>IF(BO8&gt;0,BO8,0)</f>
        <v>2.207134553418121</v>
      </c>
      <c r="BQ8" s="12"/>
      <c r="BR8" s="12"/>
      <c r="BS8" s="25"/>
      <c r="BU8">
        <v>3</v>
      </c>
      <c r="BV8" t="s">
        <v>281</v>
      </c>
      <c r="BW8" t="s">
        <v>177</v>
      </c>
      <c r="BY8" t="s">
        <v>87</v>
      </c>
      <c r="BZ8" t="s">
        <v>280</v>
      </c>
    </row>
    <row r="9" spans="1:78" x14ac:dyDescent="0.35">
      <c r="A9" s="11" t="s">
        <v>505</v>
      </c>
      <c r="B9" s="12" t="str">
        <f>'Involving Electricity'!AL16</f>
        <v>SOEC-CO</v>
      </c>
      <c r="C9" s="12" t="str">
        <f>'Involving Electricity'!AM17</f>
        <v>Methane</v>
      </c>
      <c r="D9" s="55">
        <f>'Involving Electricity'!AN17</f>
        <v>-1</v>
      </c>
      <c r="E9" s="55">
        <f>'Involving Electricity'!AO17</f>
        <v>0.20071847507331378</v>
      </c>
      <c r="F9" s="55">
        <f>'Involving Electricity'!AP17</f>
        <v>0.92054618768328433</v>
      </c>
      <c r="G9" s="55">
        <f>'Involving Electricity'!AQ17</f>
        <v>2.7307780077211476</v>
      </c>
      <c r="H9" s="55">
        <f>'Involving Electricity'!AR17</f>
        <v>1.0080645161290323</v>
      </c>
      <c r="I9" s="55">
        <f>'Involving Electricity'!AS17</f>
        <v>3.8601071866067782</v>
      </c>
      <c r="J9" s="12"/>
      <c r="K9" s="12"/>
      <c r="L9" s="12"/>
      <c r="M9" s="25"/>
      <c r="O9" s="195" t="s">
        <v>51</v>
      </c>
      <c r="P9" s="55" t="s">
        <v>505</v>
      </c>
      <c r="Q9" s="55" t="s">
        <v>49</v>
      </c>
      <c r="R9" s="55">
        <f>'Involving Electricity'!AX17</f>
        <v>-2.7280000000000002</v>
      </c>
      <c r="S9" s="55">
        <f>'Involving Electricity'!AY17</f>
        <v>0.54756000000000005</v>
      </c>
      <c r="T9" s="55">
        <f>'Involving Electricity'!AZ17</f>
        <v>2.51125</v>
      </c>
      <c r="U9" s="55">
        <f>'Involving Electricity'!BA17</f>
        <v>7.28817</v>
      </c>
      <c r="V9" s="55">
        <f>'Involving Electricity'!BB17</f>
        <v>2.75</v>
      </c>
      <c r="W9" s="55">
        <f>'Involving Electricity'!BC17</f>
        <v>10.530372405063291</v>
      </c>
      <c r="X9" s="196"/>
      <c r="Y9" s="12"/>
      <c r="Z9" s="12"/>
      <c r="AA9" s="12"/>
      <c r="AB9" s="12"/>
      <c r="AC9" s="12"/>
      <c r="AD9" s="12"/>
      <c r="AE9" s="12"/>
      <c r="AF9" s="12"/>
      <c r="AG9" s="12"/>
      <c r="AH9" s="25"/>
      <c r="AI9" s="79"/>
      <c r="AJ9" s="195" t="s">
        <v>86</v>
      </c>
      <c r="AK9" s="55" t="s">
        <v>49</v>
      </c>
      <c r="AL9" s="55" t="s">
        <v>140</v>
      </c>
      <c r="AM9" s="55">
        <f>'Involving Electricity'!BH20</f>
        <v>-7.0948633619756452E-2</v>
      </c>
      <c r="AN9" s="55">
        <f>'Involving Electricity'!BI20</f>
        <v>1.1870508301952859E-2</v>
      </c>
      <c r="AO9" s="55">
        <f>'Involving Electricity'!BJ20</f>
        <v>0.26517599122364321</v>
      </c>
      <c r="AP9" s="55">
        <f>'Involving Electricity'!BK20</f>
        <v>0</v>
      </c>
      <c r="AQ9" s="55">
        <f>'Involving Electricity'!BL20</f>
        <v>7.0948633619756452E-2</v>
      </c>
      <c r="AR9" s="55">
        <f>'Involving Electricity'!BM20</f>
        <v>0.27704649952559607</v>
      </c>
      <c r="AS9" s="198">
        <f>'Emission Factors'!$Q$29</f>
        <v>0</v>
      </c>
      <c r="AT9" s="198"/>
      <c r="AU9" s="202" t="s">
        <v>173</v>
      </c>
      <c r="AV9" s="201">
        <v>-4.6313888568776954E-2</v>
      </c>
      <c r="AW9" s="201">
        <v>3.3224404838150213E-4</v>
      </c>
      <c r="AX9" s="201">
        <v>4.4613844343350945E-3</v>
      </c>
      <c r="AY9" s="201">
        <v>5.7631466626866336E-2</v>
      </c>
      <c r="AZ9" s="201">
        <v>6.805799062997063E-2</v>
      </c>
      <c r="BA9" s="201">
        <v>8.4169197170776616E-2</v>
      </c>
      <c r="BB9" s="199">
        <v>7.0000000000000007E-2</v>
      </c>
      <c r="BD9" s="195" t="s">
        <v>510</v>
      </c>
      <c r="BE9" s="55" t="s">
        <v>49</v>
      </c>
      <c r="BF9" s="55" t="s">
        <v>51</v>
      </c>
      <c r="BG9" s="55">
        <f>'Involving Electricity'!BS17</f>
        <v>-7.506940311245379</v>
      </c>
      <c r="BH9" s="55"/>
      <c r="BI9" s="12"/>
      <c r="BJ9" s="25"/>
      <c r="BL9" s="195" t="s">
        <v>510</v>
      </c>
      <c r="BM9" s="55" t="s">
        <v>49</v>
      </c>
      <c r="BN9" s="55" t="s">
        <v>51</v>
      </c>
      <c r="BO9" s="66">
        <f>'Involving Electricity'!BT17</f>
        <v>-10.209438823293716</v>
      </c>
      <c r="BP9" s="12">
        <f t="shared" ref="BP9:BP22" si="0">IF(BO9&gt;0,BO9,0)</f>
        <v>0</v>
      </c>
      <c r="BQ9" s="12"/>
      <c r="BR9" s="12"/>
      <c r="BS9" s="25"/>
      <c r="BU9">
        <v>4</v>
      </c>
      <c r="BV9" t="s">
        <v>51</v>
      </c>
      <c r="BW9" t="s">
        <v>195</v>
      </c>
      <c r="BY9" t="s">
        <v>86</v>
      </c>
      <c r="BZ9" t="s">
        <v>49</v>
      </c>
    </row>
    <row r="10" spans="1:78" x14ac:dyDescent="0.35">
      <c r="A10" s="11"/>
      <c r="B10" s="12"/>
      <c r="C10" s="12" t="str">
        <f>'Involving Electricity'!AM18</f>
        <v>Methanol</v>
      </c>
      <c r="D10" s="55">
        <f>'Involving Electricity'!AN18</f>
        <v>-1</v>
      </c>
      <c r="E10" s="55">
        <f>'Involving Electricity'!AO18</f>
        <v>0.20071847507331378</v>
      </c>
      <c r="F10" s="55">
        <f>'Involving Electricity'!AP18</f>
        <v>0</v>
      </c>
      <c r="G10" s="55">
        <f>'Involving Electricity'!AQ18</f>
        <v>3.127196629422027</v>
      </c>
      <c r="H10" s="55">
        <f>'Involving Electricity'!AR18</f>
        <v>1.002607964603101</v>
      </c>
      <c r="I10" s="55">
        <f>'Involving Electricity'!AS18</f>
        <v>3.330523069098442</v>
      </c>
      <c r="J10" s="12"/>
      <c r="K10" s="12"/>
      <c r="L10" s="12"/>
      <c r="M10" s="25"/>
      <c r="O10" s="195" t="s">
        <v>53</v>
      </c>
      <c r="P10" s="55" t="s">
        <v>505</v>
      </c>
      <c r="Q10" s="55" t="s">
        <v>49</v>
      </c>
      <c r="R10" s="55">
        <f>'Involving Electricity'!AX18</f>
        <v>-1.3640000000000001</v>
      </c>
      <c r="S10" s="55">
        <f>'Involving Electricity'!AY18</f>
        <v>0.27378000000000002</v>
      </c>
      <c r="T10" s="55">
        <f>'Involving Electricity'!AZ18</f>
        <v>4.2654962025316454</v>
      </c>
      <c r="U10" s="55">
        <f>'Involving Electricity'!BA18</f>
        <v>0.77978999999999998</v>
      </c>
      <c r="V10" s="55">
        <f>'Involving Electricity'!BB18</f>
        <v>1.36755726371863</v>
      </c>
      <c r="W10" s="55">
        <f>'Involving Electricity'!BC18</f>
        <v>4.5428334662502756</v>
      </c>
      <c r="X10" s="196"/>
      <c r="Y10" s="12"/>
      <c r="Z10" s="12"/>
      <c r="AA10" s="12"/>
      <c r="AB10" s="12"/>
      <c r="AC10" s="12"/>
      <c r="AD10" s="12"/>
      <c r="AE10" s="12"/>
      <c r="AF10" s="12"/>
      <c r="AG10" s="12"/>
      <c r="AH10" s="25"/>
      <c r="AI10" s="79"/>
      <c r="AJ10" s="195" t="s">
        <v>86</v>
      </c>
      <c r="AK10" s="55" t="s">
        <v>52</v>
      </c>
      <c r="AL10" s="55" t="s">
        <v>51</v>
      </c>
      <c r="AM10" s="55">
        <f>'Involving Electricity'!BH21</f>
        <v>-5.5E-2</v>
      </c>
      <c r="AN10" s="55">
        <f>'Involving Electricity'!BI21</f>
        <v>1.10016E-2</v>
      </c>
      <c r="AO10" s="55">
        <f>'Involving Electricity'!BJ21</f>
        <v>0.20893599999999998</v>
      </c>
      <c r="AP10" s="55">
        <f>'Involving Electricity'!BK21</f>
        <v>9.4029999999999999E-3</v>
      </c>
      <c r="AQ10" s="55">
        <f>'Involving Electricity'!BL21</f>
        <v>5.5E-2</v>
      </c>
      <c r="AR10" s="55">
        <f>'Involving Electricity'!BM21</f>
        <v>0.22934059999999998</v>
      </c>
      <c r="AS10" s="12">
        <f>'Emission Factors'!$Q$30</f>
        <v>0</v>
      </c>
      <c r="AT10" s="12"/>
      <c r="AU10" s="203" t="s">
        <v>53</v>
      </c>
      <c r="AV10" s="201">
        <v>-4.6313888568776954E-2</v>
      </c>
      <c r="AW10" s="201">
        <v>3.3224404838150213E-4</v>
      </c>
      <c r="AX10" s="201">
        <v>4.4613844343350945E-3</v>
      </c>
      <c r="AY10" s="201">
        <v>5.7631466626866336E-2</v>
      </c>
      <c r="AZ10" s="201">
        <v>6.805799062997063E-2</v>
      </c>
      <c r="BA10" s="201">
        <v>8.4169197170776616E-2</v>
      </c>
      <c r="BB10" s="199">
        <v>7.0000000000000007E-2</v>
      </c>
      <c r="BD10" s="195"/>
      <c r="BE10" s="55"/>
      <c r="BF10" s="55" t="s">
        <v>53</v>
      </c>
      <c r="BG10" s="55">
        <f>'Involving Electricity'!BS18</f>
        <v>-2.8784187146647104</v>
      </c>
      <c r="BH10" s="55"/>
      <c r="BI10" s="12"/>
      <c r="BJ10" s="25"/>
      <c r="BL10" s="195"/>
      <c r="BM10" s="55"/>
      <c r="BN10" s="55" t="s">
        <v>53</v>
      </c>
      <c r="BO10" s="66">
        <f>'Involving Electricity'!BT18</f>
        <v>-0.10074465501326488</v>
      </c>
      <c r="BP10" s="12">
        <f t="shared" si="0"/>
        <v>0</v>
      </c>
      <c r="BQ10" s="12"/>
      <c r="BR10" s="12"/>
      <c r="BS10" s="25"/>
      <c r="BU10">
        <v>5</v>
      </c>
      <c r="BV10" t="s">
        <v>53</v>
      </c>
      <c r="BW10" t="s">
        <v>199</v>
      </c>
      <c r="BY10" t="s">
        <v>86</v>
      </c>
      <c r="BZ10" t="s">
        <v>52</v>
      </c>
    </row>
    <row r="11" spans="1:78" x14ac:dyDescent="0.35">
      <c r="A11" s="11"/>
      <c r="B11" s="12"/>
      <c r="C11" s="12" t="str">
        <f>'Involving Electricity'!AM19</f>
        <v>Diesel</v>
      </c>
      <c r="D11" s="55">
        <f>'Involving Electricity'!AN19</f>
        <v>-1</v>
      </c>
      <c r="E11" s="55">
        <f>'Involving Electricity'!AO19</f>
        <v>0.20071847507331378</v>
      </c>
      <c r="F11" s="55">
        <f>'Involving Electricity'!AP19</f>
        <v>0</v>
      </c>
      <c r="G11" s="55">
        <f>'Involving Electricity'!AQ19</f>
        <v>3.0849879720205236</v>
      </c>
      <c r="H11" s="55">
        <f>'Involving Electricity'!AR19</f>
        <v>0.99132984827234472</v>
      </c>
      <c r="I11" s="55">
        <f>'Involving Electricity'!AS19</f>
        <v>3.277036295366182</v>
      </c>
      <c r="J11" s="12"/>
      <c r="K11" s="12"/>
      <c r="L11" s="12"/>
      <c r="M11" s="25"/>
      <c r="O11" s="195" t="s">
        <v>55</v>
      </c>
      <c r="P11" s="55" t="s">
        <v>505</v>
      </c>
      <c r="Q11" s="55" t="s">
        <v>49</v>
      </c>
      <c r="R11" s="55">
        <f>'Involving Electricity'!AX19</f>
        <v>-3.1372</v>
      </c>
      <c r="S11" s="55">
        <f>'Involving Electricity'!AY19</f>
        <v>0.62969399999999998</v>
      </c>
      <c r="T11" s="55">
        <f>'Involving Electricity'!AZ19</f>
        <v>1.3</v>
      </c>
      <c r="U11" s="55">
        <f>'Involving Electricity'!BA19</f>
        <v>9.6782242658227862</v>
      </c>
      <c r="V11" s="55">
        <f>'Involving Electricity'!BB19</f>
        <v>3.11</v>
      </c>
      <c r="W11" s="55">
        <f>'Involving Electricity'!BC19</f>
        <v>10.280718265822786</v>
      </c>
      <c r="X11" s="55"/>
      <c r="Y11" s="12"/>
      <c r="Z11" s="12"/>
      <c r="AA11" s="12"/>
      <c r="AB11" s="12"/>
      <c r="AC11" s="12"/>
      <c r="AD11" s="12"/>
      <c r="AE11" s="12"/>
      <c r="AF11" s="12"/>
      <c r="AG11" s="12"/>
      <c r="AH11" s="25"/>
      <c r="AI11" s="79"/>
      <c r="AJ11" s="195" t="s">
        <v>86</v>
      </c>
      <c r="AK11" s="55" t="s">
        <v>52</v>
      </c>
      <c r="AL11" s="55" t="s">
        <v>53</v>
      </c>
      <c r="AM11" s="55">
        <f>'Involving Electricity'!BH22</f>
        <v>-6.837862048372649E-2</v>
      </c>
      <c r="AN11" s="55">
        <f>'Involving Electricity'!BI22</f>
        <v>1.3678710062705284E-2</v>
      </c>
      <c r="AO11" s="55">
        <f>'Involving Electricity'!BJ22</f>
        <v>0.18896237682890413</v>
      </c>
      <c r="AP11" s="55">
        <f>'Involving Electricity'!BK22</f>
        <v>3.8608042201652232E-2</v>
      </c>
      <c r="AQ11" s="55">
        <f>'Involving Electricity'!BL22</f>
        <v>6.805799062997063E-2</v>
      </c>
      <c r="AR11" s="55">
        <f>'Involving Electricity'!BM22</f>
        <v>0.24092849923950577</v>
      </c>
      <c r="AS11" s="12" t="e">
        <f>'Emission Factors'!#REF!</f>
        <v>#REF!</v>
      </c>
      <c r="AT11" s="12"/>
      <c r="AU11" s="20" t="s">
        <v>86</v>
      </c>
      <c r="AV11" s="201">
        <v>-0.46245453909513645</v>
      </c>
      <c r="AW11" s="201">
        <v>3.5066768098844557E-3</v>
      </c>
      <c r="AX11" s="201">
        <v>7.1929821269388017E-2</v>
      </c>
      <c r="AY11" s="201">
        <v>0.15194059423833561</v>
      </c>
      <c r="AZ11" s="201">
        <v>0.46088962008237078</v>
      </c>
      <c r="BA11" s="201">
        <v>0.22581217330484243</v>
      </c>
      <c r="BB11" s="199">
        <v>0.53156000000000003</v>
      </c>
      <c r="BD11" s="195"/>
      <c r="BE11" s="55"/>
      <c r="BF11" s="55" t="s">
        <v>55</v>
      </c>
      <c r="BG11" s="55">
        <f>'Involving Electricity'!BS19</f>
        <v>-6.6160321587354058</v>
      </c>
      <c r="BH11" s="55"/>
      <c r="BI11" s="12"/>
      <c r="BJ11" s="25"/>
      <c r="BL11" s="195"/>
      <c r="BM11" s="55"/>
      <c r="BN11" s="55" t="s">
        <v>55</v>
      </c>
      <c r="BO11" s="66">
        <f>'Involving Electricity'!BT19</f>
        <v>-3.804218491272858</v>
      </c>
      <c r="BP11" s="12">
        <f t="shared" si="0"/>
        <v>0</v>
      </c>
      <c r="BQ11" s="12"/>
      <c r="BR11" s="12"/>
      <c r="BS11" s="25"/>
      <c r="BU11">
        <v>6</v>
      </c>
      <c r="BV11" t="s">
        <v>55</v>
      </c>
      <c r="BW11" t="s">
        <v>376</v>
      </c>
      <c r="BY11" t="s">
        <v>177</v>
      </c>
      <c r="BZ11" t="s">
        <v>175</v>
      </c>
    </row>
    <row r="12" spans="1:78" x14ac:dyDescent="0.35">
      <c r="A12" s="11"/>
      <c r="B12" s="12"/>
      <c r="C12" s="12" t="str">
        <f>'Involving Electricity'!AM20</f>
        <v>Ethanol</v>
      </c>
      <c r="D12" s="55">
        <f>'Involving Electricity'!AN20</f>
        <v>-1</v>
      </c>
      <c r="E12" s="55">
        <f>'Involving Electricity'!AO20</f>
        <v>0.16731130250614693</v>
      </c>
      <c r="F12" s="55">
        <f>'Involving Electricity'!AP20</f>
        <v>0</v>
      </c>
      <c r="G12" s="55">
        <f>'Involving Electricity'!AQ20</f>
        <v>3.7375771412996168</v>
      </c>
      <c r="H12" s="55">
        <f>'Involving Electricity'!AR20</f>
        <v>1</v>
      </c>
      <c r="I12" s="55">
        <f>'Involving Electricity'!AS20</f>
        <v>3.9048884438057638</v>
      </c>
      <c r="J12" s="12"/>
      <c r="K12" s="12"/>
      <c r="L12" s="12"/>
      <c r="M12" s="25"/>
      <c r="O12" s="195" t="s">
        <v>140</v>
      </c>
      <c r="P12" s="55" t="s">
        <v>505</v>
      </c>
      <c r="Q12" s="55" t="s">
        <v>49</v>
      </c>
      <c r="R12" s="55">
        <f>'Involving Electricity'!AX20</f>
        <v>-1.9130434782608696</v>
      </c>
      <c r="S12" s="55">
        <f>'Involving Electricity'!AY20</f>
        <v>0.32007379609871589</v>
      </c>
      <c r="T12" s="55">
        <f>'Involving Electricity'!AZ20</f>
        <v>7.1501475746601368</v>
      </c>
      <c r="U12" s="55">
        <f>'Involving Electricity'!BA20</f>
        <v>0</v>
      </c>
      <c r="V12" s="55">
        <f>'Involving Electricity'!BB20</f>
        <v>1.9130434782608696</v>
      </c>
      <c r="W12" s="55">
        <f>'Involving Electricity'!BC20</f>
        <v>7.4702213707588534</v>
      </c>
      <c r="X12" s="55"/>
      <c r="Y12" s="12"/>
      <c r="Z12" s="12"/>
      <c r="AA12" s="12"/>
      <c r="AB12" s="12"/>
      <c r="AC12" s="12"/>
      <c r="AD12" s="12"/>
      <c r="AE12" s="12"/>
      <c r="AF12" s="12"/>
      <c r="AG12" s="12"/>
      <c r="AH12" s="25"/>
      <c r="AJ12" s="195" t="s">
        <v>86</v>
      </c>
      <c r="AK12" s="55" t="s">
        <v>52</v>
      </c>
      <c r="AL12" s="55" t="s">
        <v>55</v>
      </c>
      <c r="AM12" s="55">
        <f>'Involving Electricity'!BH23</f>
        <v>-7.1912502601336512E-2</v>
      </c>
      <c r="AN12" s="55">
        <f>'Involving Electricity'!BI23</f>
        <v>1.4382500520267299E-2</v>
      </c>
      <c r="AO12" s="55">
        <f>'Involving Electricity'!BJ23</f>
        <v>0.27439999999999998</v>
      </c>
      <c r="AP12" s="55">
        <f>'Involving Electricity'!BK23</f>
        <v>3.7990278066815167E-2</v>
      </c>
      <c r="AQ12" s="55">
        <f>'Involving Electricity'!BL23</f>
        <v>7.1912502601336512E-2</v>
      </c>
      <c r="AR12" s="55">
        <f>'Involving Electricity'!BM23</f>
        <v>0.32677277858708248</v>
      </c>
      <c r="AS12" s="12" t="e">
        <f>'Emission Factors'!#REF!</f>
        <v>#REF!</v>
      </c>
      <c r="AT12" s="12"/>
      <c r="AU12" s="202" t="s">
        <v>49</v>
      </c>
      <c r="AV12" s="201">
        <v>-0.26907591861140995</v>
      </c>
      <c r="AW12" s="201">
        <v>2.0026208727888053E-3</v>
      </c>
      <c r="AX12" s="201">
        <v>4.2226521179809046E-2</v>
      </c>
      <c r="AY12" s="201">
        <v>9.8775215757196971E-2</v>
      </c>
      <c r="AZ12" s="201">
        <v>0.26591912685106361</v>
      </c>
      <c r="BA12" s="201">
        <v>0.13984756604944848</v>
      </c>
      <c r="BB12" s="199">
        <v>0.30456</v>
      </c>
      <c r="BD12" s="195"/>
      <c r="BE12" s="55"/>
      <c r="BF12" s="55" t="s">
        <v>140</v>
      </c>
      <c r="BG12" s="55">
        <f>'Involving Electricity'!BS20</f>
        <v>-4.7943907091885087</v>
      </c>
      <c r="BH12" s="55"/>
      <c r="BI12" s="12"/>
      <c r="BJ12" s="25"/>
      <c r="BL12" s="195"/>
      <c r="BM12" s="55"/>
      <c r="BN12" s="55" t="s">
        <v>140</v>
      </c>
      <c r="BO12" s="66">
        <f>'Involving Electricity'!BT20</f>
        <v>-1.8474735387420422E-4</v>
      </c>
      <c r="BP12" s="12">
        <f t="shared" si="0"/>
        <v>0</v>
      </c>
      <c r="BQ12" s="12"/>
      <c r="BR12" s="12"/>
      <c r="BS12" s="25"/>
      <c r="BU12">
        <v>7</v>
      </c>
      <c r="BV12" t="s">
        <v>140</v>
      </c>
      <c r="BY12" t="s">
        <v>177</v>
      </c>
      <c r="BZ12" t="s">
        <v>176</v>
      </c>
    </row>
    <row r="13" spans="1:78" x14ac:dyDescent="0.35">
      <c r="A13" s="11"/>
      <c r="B13" s="12" t="s">
        <v>52</v>
      </c>
      <c r="C13" s="12" t="str">
        <f>'Involving Electricity'!AM21</f>
        <v>Methane</v>
      </c>
      <c r="D13" s="66">
        <f>'Involving Electricity'!AN21</f>
        <v>-1</v>
      </c>
      <c r="E13" s="66">
        <f>'Involving Electricity'!AO21</f>
        <v>0.20002909090909091</v>
      </c>
      <c r="F13" s="66">
        <f>'Involving Electricity'!AP21</f>
        <v>3.7988363636363633</v>
      </c>
      <c r="G13" s="66">
        <f>'Involving Electricity'!AQ21</f>
        <v>0.17096363636363637</v>
      </c>
      <c r="H13" s="66">
        <f>'Involving Electricity'!AR21</f>
        <v>1</v>
      </c>
      <c r="I13" s="66">
        <f>'Involving Electricity'!AS21</f>
        <v>4.16982909090909</v>
      </c>
      <c r="J13" s="55">
        <f>'Involving Electricity'!AT21</f>
        <v>5.3929999999999998</v>
      </c>
      <c r="K13" s="55">
        <f>'Involving Electricity'!AU21</f>
        <v>4.3</v>
      </c>
      <c r="L13" s="55">
        <f>'Involving Electricity'!AV21</f>
        <v>4.0599999999999996</v>
      </c>
      <c r="M13" s="191"/>
      <c r="O13" s="119" t="s">
        <v>51</v>
      </c>
      <c r="P13" s="55" t="s">
        <v>505</v>
      </c>
      <c r="Q13" s="66" t="s">
        <v>52</v>
      </c>
      <c r="R13" s="66">
        <f>'Involving Electricity'!AX21</f>
        <v>-2.75</v>
      </c>
      <c r="S13" s="66">
        <f>'Involving Electricity'!AY21</f>
        <v>0.55008000000000001</v>
      </c>
      <c r="T13" s="66">
        <f>'Involving Electricity'!AZ21</f>
        <v>10.4468</v>
      </c>
      <c r="U13" s="66">
        <f>'Involving Electricity'!BA21</f>
        <v>0.47015000000000001</v>
      </c>
      <c r="V13" s="66">
        <f>'Involving Electricity'!BB21</f>
        <v>2.75</v>
      </c>
      <c r="W13" s="66">
        <f>'Involving Electricity'!BC21</f>
        <v>11.467029999999999</v>
      </c>
      <c r="X13" s="55"/>
      <c r="Y13" s="12"/>
      <c r="Z13" s="12"/>
      <c r="AA13" s="12"/>
      <c r="AB13" s="12"/>
      <c r="AC13" s="12"/>
      <c r="AD13" s="12"/>
      <c r="AE13" s="12"/>
      <c r="AF13" s="12"/>
      <c r="AG13" s="12"/>
      <c r="AH13" s="25"/>
      <c r="AJ13" s="195" t="s">
        <v>177</v>
      </c>
      <c r="AK13" s="55" t="s">
        <v>172</v>
      </c>
      <c r="AL13" s="55" t="s">
        <v>53</v>
      </c>
      <c r="AM13" s="55">
        <f>'Reduction by Hydrocarbon'!BD18</f>
        <v>-0.10239728167204044</v>
      </c>
      <c r="AN13" s="55">
        <f>'Reduction by Hydrocarbon'!BE18</f>
        <v>1.8784740112637796E-2</v>
      </c>
      <c r="AO13" s="55">
        <f>'Reduction by Hydrocarbon'!BF18</f>
        <v>0</v>
      </c>
      <c r="AP13" s="55">
        <f>'Reduction by Hydrocarbon'!BG18</f>
        <v>0.29968542452460428</v>
      </c>
      <c r="AQ13" s="55">
        <f>'Reduction by Hydrocarbon'!BH18</f>
        <v>6.805799062997063E-2</v>
      </c>
      <c r="AR13" s="55">
        <f>'Reduction by Hydrocarbon'!BI18</f>
        <v>0.28413087359517225</v>
      </c>
      <c r="AS13" s="12" t="e">
        <f>'Emission Factors'!#REF!</f>
        <v>#REF!</v>
      </c>
      <c r="AT13" s="12"/>
      <c r="AU13" s="203" t="s">
        <v>55</v>
      </c>
      <c r="AV13" s="201">
        <v>-7.3711471315929408E-2</v>
      </c>
      <c r="AW13" s="201">
        <v>5.733114435683399E-4</v>
      </c>
      <c r="AX13" s="201">
        <v>9.281626968783669E-3</v>
      </c>
      <c r="AY13" s="201">
        <v>3.8250052026730173E-2</v>
      </c>
      <c r="AZ13" s="201">
        <v>7.1912502601336512E-2</v>
      </c>
      <c r="BA13" s="201">
        <v>4.6306021724489284E-2</v>
      </c>
      <c r="BB13" s="199">
        <v>9.6000000000000002E-2</v>
      </c>
      <c r="BD13" s="195"/>
      <c r="BE13" s="55" t="s">
        <v>52</v>
      </c>
      <c r="BF13" s="55" t="s">
        <v>51</v>
      </c>
      <c r="BG13" s="55">
        <f>'Involving Electricity'!BS21</f>
        <v>-8.4435979061820881</v>
      </c>
      <c r="BH13" s="55"/>
      <c r="BI13" s="12"/>
      <c r="BJ13" s="25"/>
      <c r="BL13" s="195"/>
      <c r="BM13" s="55" t="s">
        <v>52</v>
      </c>
      <c r="BN13" s="55" t="s">
        <v>51</v>
      </c>
      <c r="BO13" s="66">
        <f>'Involving Electricity'!BT21</f>
        <v>-11.48329315240764</v>
      </c>
      <c r="BP13" s="12">
        <f t="shared" si="0"/>
        <v>0</v>
      </c>
      <c r="BQ13" s="12"/>
      <c r="BR13" s="12"/>
      <c r="BS13" s="25"/>
      <c r="BY13" t="s">
        <v>195</v>
      </c>
      <c r="BZ13" t="s">
        <v>196</v>
      </c>
    </row>
    <row r="14" spans="1:78" x14ac:dyDescent="0.35">
      <c r="A14" s="11"/>
      <c r="B14" s="12"/>
      <c r="C14" s="12" t="str">
        <f>'Involving Electricity'!AM22</f>
        <v>Methanol</v>
      </c>
      <c r="D14" s="66">
        <f>'Involving Electricity'!AN22</f>
        <v>-1</v>
      </c>
      <c r="E14" s="66">
        <f>'Involving Electricity'!AO22</f>
        <v>0.20004366812227073</v>
      </c>
      <c r="F14" s="66">
        <f>'Involving Electricity'!AP22</f>
        <v>2.7634716157205235</v>
      </c>
      <c r="G14" s="66">
        <f>'Involving Electricity'!AQ22</f>
        <v>0.56462154294032019</v>
      </c>
      <c r="H14" s="66">
        <f>'Involving Electricity'!AR22</f>
        <v>0.99531096340511638</v>
      </c>
      <c r="I14" s="66">
        <f>'Involving Electricity'!AS22</f>
        <v>3.5234477901882308</v>
      </c>
      <c r="J14" s="55">
        <f>'Involving Electricity'!AT22</f>
        <v>4.04</v>
      </c>
      <c r="K14" s="55">
        <f>'Involving Electricity'!AU22</f>
        <v>3.85</v>
      </c>
      <c r="L14" s="55">
        <f>'Involving Electricity'!AV22</f>
        <v>3.85</v>
      </c>
      <c r="M14" s="191">
        <f>'Involving Electricity'!AW22</f>
        <v>3.43</v>
      </c>
      <c r="O14" s="119" t="s">
        <v>53</v>
      </c>
      <c r="P14" s="55" t="s">
        <v>505</v>
      </c>
      <c r="Q14" s="66" t="s">
        <v>52</v>
      </c>
      <c r="R14" s="66">
        <f>'Involving Electricity'!AX22</f>
        <v>-1.3740000000000001</v>
      </c>
      <c r="S14" s="66">
        <f>'Involving Electricity'!AY22</f>
        <v>0.27485999999999999</v>
      </c>
      <c r="T14" s="66">
        <f>'Involving Electricity'!AZ22</f>
        <v>3.7970099999999998</v>
      </c>
      <c r="U14" s="66">
        <f>'Involving Electricity'!BA22</f>
        <v>0.77578999999999998</v>
      </c>
      <c r="V14" s="66">
        <f>'Involving Electricity'!BB22</f>
        <v>1.36755726371863</v>
      </c>
      <c r="W14" s="66">
        <f>'Involving Electricity'!BC22</f>
        <v>4.8412172637186295</v>
      </c>
      <c r="X14" s="55"/>
      <c r="Y14" s="12"/>
      <c r="Z14" s="12"/>
      <c r="AA14" s="12"/>
      <c r="AB14" s="12"/>
      <c r="AC14" s="12"/>
      <c r="AD14" s="12"/>
      <c r="AE14" s="12"/>
      <c r="AF14" s="12"/>
      <c r="AG14" s="12"/>
      <c r="AH14" s="25"/>
      <c r="AJ14" s="195" t="s">
        <v>177</v>
      </c>
      <c r="AK14" s="55" t="s">
        <v>173</v>
      </c>
      <c r="AL14" s="55" t="s">
        <v>53</v>
      </c>
      <c r="AM14" s="55">
        <f>'Reduction by Hydrocarbon'!BD19</f>
        <v>-4.6313888568776954E-2</v>
      </c>
      <c r="AN14" s="55">
        <f>'Reduction by Hydrocarbon'!BE19</f>
        <v>8.5434183869529112E-3</v>
      </c>
      <c r="AO14" s="55">
        <f>'Reduction by Hydrocarbon'!BF19</f>
        <v>0</v>
      </c>
      <c r="AP14" s="55">
        <f>'Reduction by Hydrocarbon'!BG19</f>
        <v>0.15112418715723155</v>
      </c>
      <c r="AQ14" s="55">
        <f>'Reduction by Hydrocarbon'!BH19</f>
        <v>6.805799062997063E-2</v>
      </c>
      <c r="AR14" s="55">
        <f>'Reduction by Hydrocarbon'!BI19</f>
        <v>0.18141170760537814</v>
      </c>
      <c r="AS14" s="12" t="e">
        <f>'Emission Factors'!#REF!</f>
        <v>#REF!</v>
      </c>
      <c r="AT14" s="12"/>
      <c r="AU14" s="203" t="s">
        <v>140</v>
      </c>
      <c r="AV14" s="201">
        <v>-7.0948633619756452E-2</v>
      </c>
      <c r="AW14" s="201">
        <v>4.6163087840927792E-4</v>
      </c>
      <c r="AX14" s="201">
        <v>1.4818660028745384E-2</v>
      </c>
      <c r="AY14" s="201">
        <v>0</v>
      </c>
      <c r="AZ14" s="201">
        <v>7.0948633619756452E-2</v>
      </c>
      <c r="BA14" s="201">
        <v>1.5280290907154666E-2</v>
      </c>
      <c r="BB14" s="199">
        <v>7.7560000000000004E-2</v>
      </c>
      <c r="BD14" s="195"/>
      <c r="BE14" s="55"/>
      <c r="BF14" s="55" t="s">
        <v>53</v>
      </c>
      <c r="BG14" s="55">
        <f>'Involving Electricity'!BS22</f>
        <v>-3.1768025121330643</v>
      </c>
      <c r="BH14" s="55"/>
      <c r="BI14" s="12"/>
      <c r="BJ14" s="25"/>
      <c r="BL14" s="195"/>
      <c r="BM14" s="55"/>
      <c r="BN14" s="55" t="s">
        <v>53</v>
      </c>
      <c r="BO14" s="66">
        <f>'Involving Electricity'!BT22</f>
        <v>-0.11118808792465726</v>
      </c>
      <c r="BP14" s="207">
        <f t="shared" si="0"/>
        <v>0</v>
      </c>
      <c r="BQ14" s="12"/>
      <c r="BR14" s="12"/>
      <c r="BS14" s="25"/>
      <c r="BY14" t="s">
        <v>199</v>
      </c>
      <c r="BZ14" t="s">
        <v>198</v>
      </c>
    </row>
    <row r="15" spans="1:78" x14ac:dyDescent="0.35">
      <c r="A15" s="11"/>
      <c r="B15" s="12"/>
      <c r="C15" s="12" t="str">
        <f>'Involving Electricity'!AM23</f>
        <v>Diesel</v>
      </c>
      <c r="D15" s="66">
        <f>'Involving Electricity'!AN23</f>
        <v>-1</v>
      </c>
      <c r="E15" s="66">
        <f>'Involving Electricity'!AO23</f>
        <v>0.19999999999999998</v>
      </c>
      <c r="F15" s="66">
        <f>'Involving Electricity'!AP23</f>
        <v>3.8157481672025724</v>
      </c>
      <c r="G15" s="66">
        <f>'Involving Electricity'!AQ23</f>
        <v>0.52828474455162555</v>
      </c>
      <c r="H15" s="66">
        <f>'Involving Electricity'!AR23</f>
        <v>1</v>
      </c>
      <c r="I15" s="66">
        <f>'Involving Electricity'!AS23</f>
        <v>4.5440329117541971</v>
      </c>
      <c r="J15" s="55"/>
      <c r="K15" s="55"/>
      <c r="L15" s="55"/>
      <c r="M15" s="191"/>
      <c r="O15" s="119" t="s">
        <v>55</v>
      </c>
      <c r="P15" s="55" t="s">
        <v>505</v>
      </c>
      <c r="Q15" s="66" t="s">
        <v>52</v>
      </c>
      <c r="R15" s="66">
        <f>'Involving Electricity'!AX23</f>
        <v>-3.11</v>
      </c>
      <c r="S15" s="66">
        <f>'Involving Electricity'!AY23</f>
        <v>0.62199999999999989</v>
      </c>
      <c r="T15" s="66">
        <f>'Involving Electricity'!AZ23</f>
        <v>11.8669768</v>
      </c>
      <c r="U15" s="66">
        <f>'Involving Electricity'!BA23</f>
        <v>1.6429655555555556</v>
      </c>
      <c r="V15" s="66">
        <f>'Involving Electricity'!BB23</f>
        <v>3.11</v>
      </c>
      <c r="W15" s="66">
        <f>'Involving Electricity'!BC23</f>
        <v>14.131942355555555</v>
      </c>
      <c r="X15" s="55"/>
      <c r="Y15" s="12"/>
      <c r="Z15" s="12"/>
      <c r="AA15" s="12"/>
      <c r="AB15" s="12"/>
      <c r="AC15" s="12"/>
      <c r="AD15" s="12"/>
      <c r="AE15" s="12"/>
      <c r="AF15" s="12"/>
      <c r="AG15" s="12"/>
      <c r="AH15" s="25"/>
      <c r="AJ15" s="11" t="s">
        <v>195</v>
      </c>
      <c r="AK15" s="12" t="s">
        <v>196</v>
      </c>
      <c r="AL15" s="12" t="s">
        <v>51</v>
      </c>
      <c r="AM15" s="192">
        <f>'Reduction by Hydrogen'!BH17</f>
        <v>-5.5E-2</v>
      </c>
      <c r="AN15" s="192">
        <f>'Reduction by Hydrogen'!BI17</f>
        <v>1.0999999999999999E-2</v>
      </c>
      <c r="AO15" s="192">
        <f>'Reduction by Hydrogen'!BJ17</f>
        <v>0</v>
      </c>
      <c r="AP15" s="192">
        <f>'Reduction by Hydrogen'!BK17</f>
        <v>0.11984211111111112</v>
      </c>
      <c r="AQ15" s="192">
        <f>'Reduction by Hydrogen'!BL17</f>
        <v>5.5E-2</v>
      </c>
      <c r="AR15" s="192">
        <f>'Reduction by Hydrogen'!BM17</f>
        <v>0.13084211111111113</v>
      </c>
      <c r="AS15" s="12">
        <f>'Emission Factors'!$Q$30</f>
        <v>0</v>
      </c>
      <c r="AT15" s="12"/>
      <c r="AU15" s="203" t="s">
        <v>51</v>
      </c>
      <c r="AV15" s="201">
        <v>-5.5439999999999996E-2</v>
      </c>
      <c r="AW15" s="201">
        <v>4.3119999999999996E-4</v>
      </c>
      <c r="AX15" s="201">
        <v>9.440913417721521E-3</v>
      </c>
      <c r="AY15" s="201">
        <v>1.056E-2</v>
      </c>
      <c r="AZ15" s="201">
        <v>5.5E-2</v>
      </c>
      <c r="BA15" s="201">
        <v>1.9992113417721523E-2</v>
      </c>
      <c r="BB15" s="199">
        <v>6.0999999999999999E-2</v>
      </c>
      <c r="BD15" s="195"/>
      <c r="BE15" s="55"/>
      <c r="BF15" s="55" t="s">
        <v>55</v>
      </c>
      <c r="BG15" s="55">
        <f>'Involving Electricity'!BS23</f>
        <v>-10.467256248468175</v>
      </c>
      <c r="BH15" s="55"/>
      <c r="BI15" s="12"/>
      <c r="BJ15" s="25"/>
      <c r="BL15" s="195"/>
      <c r="BM15" s="55"/>
      <c r="BN15" s="55" t="s">
        <v>55</v>
      </c>
      <c r="BO15" s="66">
        <f>'Involving Electricity'!BT23</f>
        <v>-6.0186723428692002</v>
      </c>
      <c r="BP15" s="12">
        <f t="shared" si="0"/>
        <v>0</v>
      </c>
      <c r="BQ15" s="12"/>
      <c r="BR15" s="12"/>
      <c r="BS15" s="25"/>
      <c r="BU15" t="s">
        <v>345</v>
      </c>
      <c r="BV15">
        <v>1</v>
      </c>
      <c r="BW15" t="str">
        <f>VLOOKUP(BV15,BU6:BV12,2,FALSE)</f>
        <v>CWM</v>
      </c>
      <c r="BY15" t="s">
        <v>376</v>
      </c>
      <c r="BZ15" t="s">
        <v>377</v>
      </c>
    </row>
    <row r="16" spans="1:78" x14ac:dyDescent="0.35">
      <c r="A16" s="11" t="s">
        <v>506</v>
      </c>
      <c r="B16" s="12" t="str">
        <f>'Reduction by Hydrocarbon'!AL18</f>
        <v>DMR-CO</v>
      </c>
      <c r="C16" s="12" t="str">
        <f>'Reduction by Hydrocarbon'!AM18</f>
        <v>Methanol</v>
      </c>
      <c r="D16" s="55">
        <f>'Reduction by Hydrocarbon'!AN18</f>
        <v>-1</v>
      </c>
      <c r="E16" s="55">
        <f>'Reduction by Hydrocarbon'!AO18</f>
        <v>0.18344959754695286</v>
      </c>
      <c r="F16" s="55">
        <f>'Reduction by Hydrocarbon'!AP18</f>
        <v>0</v>
      </c>
      <c r="G16" s="55">
        <f>'Reduction by Hydrocarbon'!AQ18</f>
        <v>2.9266931663717521</v>
      </c>
      <c r="H16" s="55">
        <f>'Reduction by Hydrocarbon'!AR18</f>
        <v>0.66464645856466953</v>
      </c>
      <c r="I16" s="55">
        <f>'Reduction by Hydrocarbon'!AS18</f>
        <v>2.7747892224833746</v>
      </c>
      <c r="J16" s="55"/>
      <c r="K16" s="55"/>
      <c r="L16" s="55"/>
      <c r="M16" s="191"/>
      <c r="O16" s="119" t="s">
        <v>53</v>
      </c>
      <c r="P16" s="55" t="s">
        <v>506</v>
      </c>
      <c r="Q16" s="66" t="s">
        <v>172</v>
      </c>
      <c r="R16" s="66">
        <f>'Reduction by Hydrocarbon'!AX18</f>
        <v>-2.0575709779179809</v>
      </c>
      <c r="S16" s="66">
        <f>'Reduction by Hydrocarbon'!AY18</f>
        <v>0.37746056782334386</v>
      </c>
      <c r="T16" s="66">
        <f>'Reduction by Hydrocarbon'!AZ18</f>
        <v>0</v>
      </c>
      <c r="U16" s="66">
        <f>'Reduction by Hydrocarbon'!BA18</f>
        <v>6.0218789203973984</v>
      </c>
      <c r="V16" s="66">
        <f>'Reduction by Hydrocarbon'!BB18</f>
        <v>1.36755726371863</v>
      </c>
      <c r="W16" s="66">
        <f>'Reduction by Hydrocarbon'!BC18</f>
        <v>5.7093257740213907</v>
      </c>
      <c r="X16" s="55"/>
      <c r="Y16" s="12"/>
      <c r="Z16" s="12"/>
      <c r="AA16" s="12"/>
      <c r="AB16" s="12"/>
      <c r="AC16" s="12"/>
      <c r="AD16" s="12"/>
      <c r="AE16" s="12"/>
      <c r="AF16" s="12"/>
      <c r="AG16" s="12"/>
      <c r="AH16" s="25"/>
      <c r="AJ16" s="11" t="s">
        <v>195</v>
      </c>
      <c r="AK16" s="12" t="s">
        <v>196</v>
      </c>
      <c r="AL16" s="12" t="s">
        <v>53</v>
      </c>
      <c r="AM16" s="192">
        <f>'Reduction by Hydrogen'!BH18</f>
        <v>-6.8190006967253899E-2</v>
      </c>
      <c r="AN16" s="192">
        <f>'Reduction by Hydrogen'!BI18</f>
        <v>1.3078530904747684E-2</v>
      </c>
      <c r="AO16" s="192">
        <f>'Reduction by Hydrogen'!BJ18</f>
        <v>0</v>
      </c>
      <c r="AP16" s="192">
        <f>'Reduction by Hydrogen'!BK18</f>
        <v>0.1417549905337124</v>
      </c>
      <c r="AQ16" s="192">
        <f>'Reduction by Hydrogen'!BL18</f>
        <v>6.805799062997063E-2</v>
      </c>
      <c r="AR16" s="192">
        <f>'Reduction by Hydrogen'!BM18</f>
        <v>0.15470150510117681</v>
      </c>
      <c r="AS16" s="12" t="e">
        <f>'Emission Factors'!#REF!</f>
        <v>#REF!</v>
      </c>
      <c r="AT16" s="12"/>
      <c r="AU16" s="203" t="s">
        <v>53</v>
      </c>
      <c r="AV16" s="201">
        <v>-6.8975813675724085E-2</v>
      </c>
      <c r="AW16" s="201">
        <v>5.3647855081118741E-4</v>
      </c>
      <c r="AX16" s="201">
        <v>8.6853207645584737E-3</v>
      </c>
      <c r="AY16" s="201">
        <v>4.9965163730466805E-2</v>
      </c>
      <c r="AZ16" s="201">
        <v>6.805799062997063E-2</v>
      </c>
      <c r="BA16" s="201">
        <v>5.8269140000083007E-2</v>
      </c>
      <c r="BB16" s="199">
        <v>7.0000000000000007E-2</v>
      </c>
      <c r="BD16" s="195" t="s">
        <v>506</v>
      </c>
      <c r="BE16" s="55" t="s">
        <v>172</v>
      </c>
      <c r="BF16" s="55" t="s">
        <v>53</v>
      </c>
      <c r="BG16" s="55">
        <f>'Reduction by Hydrocarbon'!BK18</f>
        <v>-4.0449110224358256</v>
      </c>
      <c r="BH16" s="55"/>
      <c r="BI16" s="12"/>
      <c r="BJ16" s="25"/>
      <c r="BL16" s="195" t="s">
        <v>506</v>
      </c>
      <c r="BM16" s="55" t="s">
        <v>172</v>
      </c>
      <c r="BN16" s="55" t="s">
        <v>53</v>
      </c>
      <c r="BO16" s="66">
        <f>'Reduction by Hydrocarbon'!BL18</f>
        <v>-0.1415718857852539</v>
      </c>
      <c r="BP16" s="12">
        <f t="shared" si="0"/>
        <v>0</v>
      </c>
      <c r="BQ16" s="12"/>
      <c r="BR16" s="12"/>
      <c r="BS16" s="25"/>
      <c r="BY16" t="s">
        <v>376</v>
      </c>
      <c r="BZ16" t="s">
        <v>378</v>
      </c>
    </row>
    <row r="17" spans="1:71" x14ac:dyDescent="0.35">
      <c r="A17" s="11"/>
      <c r="B17" s="12" t="str">
        <f>'Reduction by Hydrocarbon'!AL19</f>
        <v>DMR-H2</v>
      </c>
      <c r="C17" s="12" t="str">
        <f>'Reduction by Hydrocarbon'!AM19</f>
        <v>Methanol</v>
      </c>
      <c r="D17" s="55">
        <f>'Reduction by Hydrocarbon'!AN19</f>
        <v>-1</v>
      </c>
      <c r="E17" s="55">
        <f>'Reduction by Hydrocarbon'!AO19</f>
        <v>0.18446774069220687</v>
      </c>
      <c r="F17" s="55">
        <f>'Reduction by Hydrocarbon'!AP19</f>
        <v>0</v>
      </c>
      <c r="G17" s="55">
        <f>'Reduction by Hydrocarbon'!AQ19</f>
        <v>3.2630425090048187</v>
      </c>
      <c r="H17" s="55">
        <f>'Reduction by Hydrocarbon'!AR19</f>
        <v>1.469494199972073</v>
      </c>
      <c r="I17" s="55">
        <f>'Reduction by Hydrocarbon'!AS19</f>
        <v>3.9170044496690988</v>
      </c>
      <c r="J17" s="55"/>
      <c r="K17" s="55"/>
      <c r="L17" s="55"/>
      <c r="M17" s="191"/>
      <c r="O17" s="195" t="s">
        <v>53</v>
      </c>
      <c r="P17" s="55" t="s">
        <v>506</v>
      </c>
      <c r="Q17" s="55" t="s">
        <v>176</v>
      </c>
      <c r="R17" s="55">
        <f>'Reduction by Hydrocarbon'!AX19</f>
        <v>-0.93063127690100422</v>
      </c>
      <c r="S17" s="55">
        <f>'Reduction by Hydrocarbon'!AY19</f>
        <v>0.17167144906743181</v>
      </c>
      <c r="T17" s="55">
        <f>'Reduction by Hydrocarbon'!AZ19</f>
        <v>0.96753228120516455</v>
      </c>
      <c r="U17" s="55">
        <f>'Reduction by Hydrocarbon'!BA19</f>
        <v>3.0366894167374112</v>
      </c>
      <c r="V17" s="55">
        <f>'Reduction by Hydrocarbon'!BB19</f>
        <v>1.36755726371863</v>
      </c>
      <c r="W17" s="55">
        <f>'Reduction by Hydrocarbon'!BC19</f>
        <v>3.6452868526224691</v>
      </c>
      <c r="X17" s="55"/>
      <c r="Y17" s="12"/>
      <c r="Z17" s="12"/>
      <c r="AA17" s="12"/>
      <c r="AB17" s="12"/>
      <c r="AC17" s="12"/>
      <c r="AD17" s="12"/>
      <c r="AE17" s="12"/>
      <c r="AF17" s="12"/>
      <c r="AG17" s="12"/>
      <c r="AH17" s="25"/>
      <c r="AJ17" s="11" t="s">
        <v>195</v>
      </c>
      <c r="AK17" s="12" t="s">
        <v>196</v>
      </c>
      <c r="AL17" s="12" t="s">
        <v>55</v>
      </c>
      <c r="AM17" s="192">
        <f>'Reduction by Hydrogen'!BH16</f>
        <v>-7.3059981039147223E-2</v>
      </c>
      <c r="AN17" s="192">
        <f>'Reduction by Hydrogen'!BI16</f>
        <v>1.4611707170439565E-2</v>
      </c>
      <c r="AO17" s="192">
        <f>'Reduction by Hydrogen'!BJ16</f>
        <v>0</v>
      </c>
      <c r="AP17" s="55">
        <f>'Reduction by Hydrogen'!BK16</f>
        <v>0.14331057645617037</v>
      </c>
      <c r="AQ17" s="55">
        <f>'Reduction by Hydrogen'!BL16</f>
        <v>7.3059981039147223E-2</v>
      </c>
      <c r="AR17" s="55">
        <f>'Reduction by Hydrogen'!BM16</f>
        <v>0.15792228362660993</v>
      </c>
      <c r="AS17" s="12" t="e">
        <f>'Emission Factors'!#REF!</f>
        <v>#REF!</v>
      </c>
      <c r="AT17" s="12"/>
      <c r="AU17" s="202" t="s">
        <v>52</v>
      </c>
      <c r="AV17" s="201">
        <v>-0.1933786204837265</v>
      </c>
      <c r="AW17" s="201">
        <v>1.5040559370956504E-3</v>
      </c>
      <c r="AX17" s="201">
        <v>2.9703300089578978E-2</v>
      </c>
      <c r="AY17" s="201">
        <v>5.3165378481138649E-2</v>
      </c>
      <c r="AZ17" s="201">
        <v>0.19497049323130716</v>
      </c>
      <c r="BA17" s="201">
        <v>8.5964607255393927E-2</v>
      </c>
      <c r="BB17" s="199">
        <v>0.22700000000000001</v>
      </c>
      <c r="BD17" s="195"/>
      <c r="BE17" s="55" t="s">
        <v>173</v>
      </c>
      <c r="BF17" s="55" t="s">
        <v>53</v>
      </c>
      <c r="BG17" s="55">
        <f>'Reduction by Hydrocarbon'!BK19</f>
        <v>-1.9808721010369039</v>
      </c>
      <c r="BH17" s="55"/>
      <c r="BI17" s="12"/>
      <c r="BJ17" s="25"/>
      <c r="BL17" s="195"/>
      <c r="BM17" s="55" t="s">
        <v>173</v>
      </c>
      <c r="BN17" s="55" t="s">
        <v>53</v>
      </c>
      <c r="BO17" s="66">
        <f>'Reduction by Hydrocarbon'!BL19</f>
        <v>-6.9330523536291641E-2</v>
      </c>
      <c r="BP17" s="12">
        <f t="shared" si="0"/>
        <v>0</v>
      </c>
      <c r="BQ17" s="12"/>
      <c r="BR17" s="12"/>
      <c r="BS17" s="25"/>
    </row>
    <row r="18" spans="1:71" x14ac:dyDescent="0.35">
      <c r="A18" s="11" t="s">
        <v>507</v>
      </c>
      <c r="B18" s="12" t="s">
        <v>196</v>
      </c>
      <c r="C18" s="12" t="s">
        <v>51</v>
      </c>
      <c r="D18" s="192">
        <f>'Reduction by Hydrogen'!AN17</f>
        <v>-1</v>
      </c>
      <c r="E18" s="192">
        <f>'Reduction by Hydrogen'!AO17</f>
        <v>0.19999999999999998</v>
      </c>
      <c r="F18" s="192">
        <f>'Reduction by Hydrogen'!AP17</f>
        <v>0</v>
      </c>
      <c r="G18" s="192">
        <f>'Reduction by Hydrogen'!AQ17</f>
        <v>2.1789474747474746</v>
      </c>
      <c r="H18" s="192">
        <f>'Reduction by Hydrogen'!AR17</f>
        <v>1</v>
      </c>
      <c r="I18" s="192">
        <f>'Reduction by Hydrogen'!AS17</f>
        <v>2.3789474747474744</v>
      </c>
      <c r="J18" s="192">
        <f>'Reduction by Hydrogen'!AT17</f>
        <v>4.6965174129353233</v>
      </c>
      <c r="K18" s="192">
        <f>'Reduction by Hydrogen'!AU17</f>
        <v>4.9303482587064682</v>
      </c>
      <c r="L18" s="192">
        <f>'Reduction by Hydrogen'!AV17</f>
        <v>5.1990049751243781</v>
      </c>
      <c r="M18" s="193"/>
      <c r="O18" s="11" t="s">
        <v>51</v>
      </c>
      <c r="P18" s="12" t="s">
        <v>507</v>
      </c>
      <c r="Q18" s="12" t="s">
        <v>196</v>
      </c>
      <c r="R18" s="192">
        <f>'Reduction by Hydrogen'!AX17</f>
        <v>-2.75</v>
      </c>
      <c r="S18" s="192">
        <f>'Reduction by Hydrogen'!AY17</f>
        <v>0.54999999999999993</v>
      </c>
      <c r="T18" s="192">
        <f>'Reduction by Hydrogen'!AZ17</f>
        <v>0</v>
      </c>
      <c r="U18" s="192">
        <f>'Reduction by Hydrogen'!BA17</f>
        <v>5.9921055555555558</v>
      </c>
      <c r="V18" s="192">
        <f>'Reduction by Hydrogen'!BB17</f>
        <v>2.75</v>
      </c>
      <c r="W18" s="192">
        <f>'Reduction by Hydrogen'!BC17</f>
        <v>6.5421055555555556</v>
      </c>
      <c r="X18" s="66"/>
      <c r="Y18" s="12"/>
      <c r="Z18" s="12"/>
      <c r="AA18" s="12"/>
      <c r="AB18" s="12"/>
      <c r="AC18" s="12"/>
      <c r="AD18" s="12"/>
      <c r="AE18" s="12"/>
      <c r="AF18" s="12"/>
      <c r="AG18" s="12"/>
      <c r="AH18" s="25"/>
      <c r="AJ18" s="11" t="s">
        <v>199</v>
      </c>
      <c r="AK18" s="12" t="s">
        <v>198</v>
      </c>
      <c r="AL18" s="12" t="s">
        <v>51</v>
      </c>
      <c r="AM18" s="55">
        <f>'Involving Light'!U38</f>
        <v>-5.5E-2</v>
      </c>
      <c r="AN18" s="55">
        <f>'Involving Light'!U40</f>
        <v>1.2762000000000001E-2</v>
      </c>
      <c r="AO18" s="55">
        <v>0</v>
      </c>
      <c r="AP18" s="55">
        <f>'Involving Light'!U48</f>
        <v>1.8485789870539285E-2</v>
      </c>
      <c r="AQ18" s="55">
        <f>'Involving Light'!U49</f>
        <v>5.5E-2</v>
      </c>
      <c r="AR18" s="55">
        <f>'Involving Light'!U50</f>
        <v>3.1247789870539288E-2</v>
      </c>
      <c r="AS18" s="12">
        <f>'Emission Factors'!$Q$30</f>
        <v>0</v>
      </c>
      <c r="AT18" s="12"/>
      <c r="AU18" s="203" t="s">
        <v>55</v>
      </c>
      <c r="AV18" s="201">
        <v>-7.0000000000000007E-2</v>
      </c>
      <c r="AW18" s="201">
        <v>5.4444444444444451E-4</v>
      </c>
      <c r="AX18" s="201">
        <v>1.02144E-2</v>
      </c>
      <c r="AY18" s="201">
        <v>3.7777777777777778E-2</v>
      </c>
      <c r="AZ18" s="201">
        <v>7.1912502601336512E-2</v>
      </c>
      <c r="BA18" s="201">
        <v>5.0449124823558726E-2</v>
      </c>
      <c r="BB18" s="199">
        <v>9.6000000000000002E-2</v>
      </c>
      <c r="BD18" s="11" t="s">
        <v>507</v>
      </c>
      <c r="BE18" s="12" t="s">
        <v>196</v>
      </c>
      <c r="BF18" s="12" t="s">
        <v>51</v>
      </c>
      <c r="BG18" s="192">
        <f>'Reduction by Hydrogen'!BS17</f>
        <v>-3.5186734617376434</v>
      </c>
      <c r="BH18" s="192"/>
      <c r="BI18" s="12"/>
      <c r="BJ18" s="25"/>
      <c r="BL18" s="11" t="s">
        <v>507</v>
      </c>
      <c r="BM18" s="12" t="s">
        <v>196</v>
      </c>
      <c r="BN18" s="12" t="s">
        <v>51</v>
      </c>
      <c r="BO18" s="208">
        <f>'Reduction by Hydrogen'!BT17</f>
        <v>-4.7853959079631956</v>
      </c>
      <c r="BP18" s="128">
        <f t="shared" si="0"/>
        <v>0</v>
      </c>
      <c r="BQ18" s="12"/>
      <c r="BR18" s="12"/>
      <c r="BS18" s="25"/>
    </row>
    <row r="19" spans="1:71" x14ac:dyDescent="0.35">
      <c r="A19" s="11"/>
      <c r="B19" s="12"/>
      <c r="C19" s="12" t="s">
        <v>53</v>
      </c>
      <c r="D19" s="192">
        <f>'Reduction by Hydrogen'!AN18</f>
        <v>-1</v>
      </c>
      <c r="E19" s="192">
        <f>'Reduction by Hydrogen'!AO18</f>
        <v>0.19179541822056473</v>
      </c>
      <c r="F19" s="192">
        <f>'Reduction by Hydrogen'!AP18</f>
        <v>0</v>
      </c>
      <c r="G19" s="192">
        <f>'Reduction by Hydrogen'!AQ18</f>
        <v>2.078823523244187</v>
      </c>
      <c r="H19" s="192">
        <f>'Reduction by Hydrogen'!AR18</f>
        <v>0.99806399290519698</v>
      </c>
      <c r="I19" s="192">
        <f>'Reduction by Hydrogen'!AS18</f>
        <v>2.2686829343699486</v>
      </c>
      <c r="J19" s="192">
        <f>'Reduction by Hydrogen'!AT18</f>
        <v>3.3305084745762716</v>
      </c>
      <c r="K19" s="192">
        <f>'Reduction by Hydrogen'!AU18</f>
        <v>3.8474576271186445</v>
      </c>
      <c r="L19" s="192">
        <f>'Reduction by Hydrogen'!AV18</f>
        <v>4.1822033898305087</v>
      </c>
      <c r="M19" s="193">
        <f>'Reduction by Hydrogen'!AW18</f>
        <v>4.9406779661016955</v>
      </c>
      <c r="O19" s="11" t="s">
        <v>53</v>
      </c>
      <c r="P19" s="12" t="s">
        <v>507</v>
      </c>
      <c r="Q19" s="12" t="s">
        <v>196</v>
      </c>
      <c r="R19" s="192">
        <f>'Reduction by Hydrogen'!AX18</f>
        <v>-1.3702099999999999</v>
      </c>
      <c r="S19" s="192">
        <f>'Reduction by Hydrogen'!AY18</f>
        <v>0.26279999999999998</v>
      </c>
      <c r="T19" s="192">
        <f>'Reduction by Hydrogen'!AZ18</f>
        <v>0</v>
      </c>
      <c r="U19" s="192">
        <f>'Reduction by Hydrogen'!BA18</f>
        <v>2.8484247797844171</v>
      </c>
      <c r="V19" s="192">
        <f>'Reduction by Hydrogen'!BB18</f>
        <v>1.36755726371863</v>
      </c>
      <c r="W19" s="192">
        <f>'Reduction by Hydrogen'!BC18</f>
        <v>3.1085720435030471</v>
      </c>
      <c r="X19" s="55"/>
      <c r="Y19" s="12"/>
      <c r="Z19" s="12"/>
      <c r="AA19" s="12"/>
      <c r="AB19" s="12"/>
      <c r="AC19" s="12"/>
      <c r="AD19" s="12"/>
      <c r="AE19" s="12"/>
      <c r="AF19" s="12"/>
      <c r="AG19" s="12"/>
      <c r="AH19" s="25"/>
      <c r="AJ19" s="11" t="s">
        <v>199</v>
      </c>
      <c r="AK19" s="12" t="s">
        <v>198</v>
      </c>
      <c r="AL19" s="12" t="s">
        <v>53</v>
      </c>
      <c r="AM19" s="55">
        <f>'Involving Light'!U18</f>
        <v>-6.8080023887727686E-2</v>
      </c>
      <c r="AN19" s="55">
        <f>'Involving Light'!U20</f>
        <v>1.4383696625858465E-2</v>
      </c>
      <c r="AO19" s="55">
        <v>0</v>
      </c>
      <c r="AP19" s="55">
        <f>'Involving Light'!U28</f>
        <v>3.728054152986196E-2</v>
      </c>
      <c r="AQ19" s="55">
        <f>'Involving Light'!U29</f>
        <v>6.805799062997063E-2</v>
      </c>
      <c r="AR19" s="55">
        <f>'Involving Light'!U30</f>
        <v>5.1642204897963367E-2</v>
      </c>
      <c r="AS19" s="12" t="e">
        <f>'Emission Factors'!#REF!</f>
        <v>#REF!</v>
      </c>
      <c r="AT19" s="12"/>
      <c r="AU19" s="203" t="s">
        <v>51</v>
      </c>
      <c r="AV19" s="201">
        <v>-5.5E-2</v>
      </c>
      <c r="AW19" s="201">
        <v>4.2777777777777774E-4</v>
      </c>
      <c r="AX19" s="201">
        <v>1.0233600000000001E-2</v>
      </c>
      <c r="AY19" s="201">
        <v>6.2719111111111114E-3</v>
      </c>
      <c r="AZ19" s="201">
        <v>5.5E-2</v>
      </c>
      <c r="BA19" s="201">
        <v>1.6933288888888891E-2</v>
      </c>
      <c r="BB19" s="199">
        <v>6.0999999999999999E-2</v>
      </c>
      <c r="BD19" s="11"/>
      <c r="BE19" s="12"/>
      <c r="BF19" s="12" t="s">
        <v>53</v>
      </c>
      <c r="BG19" s="192">
        <f>'Reduction by Hydrogen'!BS18</f>
        <v>-1.4441572919174819</v>
      </c>
      <c r="BH19" s="192"/>
      <c r="BI19" s="12"/>
      <c r="BJ19" s="25"/>
      <c r="BL19" s="11"/>
      <c r="BM19" s="12"/>
      <c r="BN19" s="12" t="s">
        <v>53</v>
      </c>
      <c r="BO19" s="208">
        <f>'Reduction by Hydrogen'!BT18</f>
        <v>-5.0545505217111868E-2</v>
      </c>
      <c r="BP19" s="128">
        <f t="shared" si="0"/>
        <v>0</v>
      </c>
      <c r="BQ19" s="12"/>
      <c r="BR19" s="12"/>
      <c r="BS19" s="25"/>
    </row>
    <row r="20" spans="1:71" x14ac:dyDescent="0.35">
      <c r="A20" s="11"/>
      <c r="B20" s="12"/>
      <c r="C20" s="12" t="s">
        <v>55</v>
      </c>
      <c r="D20" s="192">
        <f>'Reduction by Hydrogen'!AN16</f>
        <v>-1</v>
      </c>
      <c r="E20" s="192">
        <f>'Reduction by Hydrogen'!AO16</f>
        <v>0.19999604383431577</v>
      </c>
      <c r="F20" s="192">
        <f>'Reduction by Hydrogen'!AP16</f>
        <v>0</v>
      </c>
      <c r="G20" s="192">
        <f>'Reduction by Hydrogen'!AQ16</f>
        <v>1.9615468607825297</v>
      </c>
      <c r="H20" s="192">
        <f>'Reduction by Hydrogen'!AR16</f>
        <v>1</v>
      </c>
      <c r="I20" s="192">
        <f>'Reduction by Hydrogen'!AS16</f>
        <v>2.1615429046168453</v>
      </c>
      <c r="J20" s="55"/>
      <c r="K20" s="55"/>
      <c r="L20" s="55"/>
      <c r="M20" s="191"/>
      <c r="O20" s="11" t="s">
        <v>55</v>
      </c>
      <c r="P20" s="12" t="s">
        <v>507</v>
      </c>
      <c r="Q20" s="12" t="s">
        <v>196</v>
      </c>
      <c r="R20" s="192">
        <f>'Reduction by Hydrogen'!AX16</f>
        <v>-3.1596249999999997</v>
      </c>
      <c r="S20" s="192">
        <f>'Reduction by Hydrogen'!AY16</f>
        <v>0.63191249999999988</v>
      </c>
      <c r="T20" s="192">
        <f>'Reduction by Hydrogen'!AZ16</f>
        <v>0</v>
      </c>
      <c r="U20" s="192">
        <f>'Reduction by Hydrogen'!BA16</f>
        <v>6.1977525</v>
      </c>
      <c r="V20" s="192">
        <f>'Reduction by Hydrogen'!BB16</f>
        <v>3.1596249999999997</v>
      </c>
      <c r="W20" s="192">
        <f>'Reduction by Hydrogen'!BC16</f>
        <v>6.8296650000000003</v>
      </c>
      <c r="X20" s="55"/>
      <c r="Y20" s="12"/>
      <c r="Z20" s="12"/>
      <c r="AA20" s="12"/>
      <c r="AB20" s="12"/>
      <c r="AC20" s="12"/>
      <c r="AD20" s="12"/>
      <c r="AE20" s="12"/>
      <c r="AF20" s="12"/>
      <c r="AG20" s="12"/>
      <c r="AH20" s="25"/>
      <c r="AJ20" s="11"/>
      <c r="AK20" s="12"/>
      <c r="AL20" s="12"/>
      <c r="AM20" s="12"/>
      <c r="AN20" s="12"/>
      <c r="AO20" s="12"/>
      <c r="AP20" s="12"/>
      <c r="AQ20" s="12"/>
      <c r="AR20" s="12"/>
      <c r="AS20" s="12"/>
      <c r="AT20" s="12"/>
      <c r="AU20" s="203" t="s">
        <v>53</v>
      </c>
      <c r="AV20" s="201">
        <v>-6.837862048372649E-2</v>
      </c>
      <c r="AW20" s="201">
        <v>5.3183371487342825E-4</v>
      </c>
      <c r="AX20" s="201">
        <v>9.2553000895789789E-3</v>
      </c>
      <c r="AY20" s="201">
        <v>9.1156895922497611E-3</v>
      </c>
      <c r="AZ20" s="201">
        <v>6.805799062997063E-2</v>
      </c>
      <c r="BA20" s="201">
        <v>1.858219354294631E-2</v>
      </c>
      <c r="BB20" s="199">
        <v>7.0000000000000007E-2</v>
      </c>
      <c r="BD20" s="11"/>
      <c r="BE20" s="12"/>
      <c r="BF20" s="12" t="s">
        <v>55</v>
      </c>
      <c r="BG20" s="192">
        <f>'Reduction by Hydrogen'!BS16</f>
        <v>-3.1649788929126199</v>
      </c>
      <c r="BH20" s="192"/>
      <c r="BI20" s="12"/>
      <c r="BJ20" s="25"/>
      <c r="BL20" s="11"/>
      <c r="BM20" s="12"/>
      <c r="BN20" s="12" t="s">
        <v>55</v>
      </c>
      <c r="BO20" s="208">
        <f>'Reduction by Hydrogen'!BT16</f>
        <v>-1.8198628634247562</v>
      </c>
      <c r="BP20" s="128">
        <f t="shared" si="0"/>
        <v>0</v>
      </c>
      <c r="BQ20" s="12"/>
      <c r="BR20" s="12"/>
      <c r="BS20" s="25"/>
    </row>
    <row r="21" spans="1:71" x14ac:dyDescent="0.35">
      <c r="A21" s="11" t="s">
        <v>508</v>
      </c>
      <c r="B21" s="12" t="str">
        <f>'Involving Light'!D13</f>
        <v>P.CAT</v>
      </c>
      <c r="C21" s="12" t="str">
        <f>'Involving Light'!D35</f>
        <v>Methane</v>
      </c>
      <c r="D21" s="55">
        <f>'Involving Light'!AN17</f>
        <v>-1</v>
      </c>
      <c r="E21" s="55">
        <f>'Involving Light'!AO17</f>
        <v>0.23203636363636362</v>
      </c>
      <c r="F21" s="55">
        <f>'Involving Light'!AP17</f>
        <v>0</v>
      </c>
      <c r="G21" s="55">
        <f>'Involving Light'!AQ17</f>
        <v>0.33610527037344151</v>
      </c>
      <c r="H21" s="55">
        <f>'Involving Light'!AR17</f>
        <v>1</v>
      </c>
      <c r="I21" s="55">
        <f>'Involving Light'!AS17</f>
        <v>0.56814163400980511</v>
      </c>
      <c r="J21" s="55">
        <f>'Involving Light'!AT17</f>
        <v>9.6885813148788927E-2</v>
      </c>
      <c r="K21" s="55"/>
      <c r="L21" s="55"/>
      <c r="M21" s="191"/>
      <c r="O21" s="11" t="s">
        <v>51</v>
      </c>
      <c r="P21" s="12" t="s">
        <v>508</v>
      </c>
      <c r="Q21" s="12" t="s">
        <v>198</v>
      </c>
      <c r="R21" s="55">
        <f>'Involving Light'!R38</f>
        <v>-2.75</v>
      </c>
      <c r="S21" s="55">
        <f>'Involving Light'!R40</f>
        <v>0.6381</v>
      </c>
      <c r="T21" s="55">
        <v>0</v>
      </c>
      <c r="U21" s="55">
        <f>'Involving Light'!R48</f>
        <v>0.92428949352696421</v>
      </c>
      <c r="V21" s="55">
        <f>'Involving Light'!R49</f>
        <v>2.75</v>
      </c>
      <c r="W21" s="55">
        <f>'Involving Light'!R50</f>
        <v>1.5623894935269638</v>
      </c>
      <c r="X21" s="55"/>
      <c r="Y21" s="12"/>
      <c r="Z21" s="12"/>
      <c r="AA21" s="12"/>
      <c r="AB21" s="12"/>
      <c r="AC21" s="12"/>
      <c r="AD21" s="12"/>
      <c r="AE21" s="12"/>
      <c r="AF21" s="12"/>
      <c r="AG21" s="12"/>
      <c r="AH21" s="25"/>
      <c r="AJ21" s="11"/>
      <c r="AK21" s="12"/>
      <c r="AL21" s="12"/>
      <c r="AM21" s="12"/>
      <c r="AN21" s="12"/>
      <c r="AO21" s="12"/>
      <c r="AP21" s="12"/>
      <c r="AQ21" s="12"/>
      <c r="AR21" s="12"/>
      <c r="AS21" s="12"/>
      <c r="AT21" s="12"/>
      <c r="AU21" s="20" t="s">
        <v>195</v>
      </c>
      <c r="AV21" s="201">
        <v>-0.19624998800640114</v>
      </c>
      <c r="AW21" s="201">
        <v>1.5046316099335548E-3</v>
      </c>
      <c r="AX21" s="201">
        <v>0</v>
      </c>
      <c r="AY21" s="201">
        <v>0.10183865001753753</v>
      </c>
      <c r="AZ21" s="201">
        <v>0.19611797166911787</v>
      </c>
      <c r="BA21" s="201">
        <v>0.10321126529018781</v>
      </c>
      <c r="BB21" s="199">
        <v>0.22700000000000001</v>
      </c>
      <c r="BD21" s="11" t="s">
        <v>508</v>
      </c>
      <c r="BE21" s="12" t="s">
        <v>198</v>
      </c>
      <c r="BF21" s="12" t="s">
        <v>51</v>
      </c>
      <c r="BG21" s="55">
        <f>'Involving Light'!BS17</f>
        <v>1.4610426002909485</v>
      </c>
      <c r="BH21" s="55"/>
      <c r="BI21" s="12"/>
      <c r="BJ21" s="25"/>
      <c r="BL21" s="11" t="s">
        <v>508</v>
      </c>
      <c r="BM21" s="12" t="s">
        <v>198</v>
      </c>
      <c r="BN21" s="12" t="s">
        <v>51</v>
      </c>
      <c r="BO21" s="66">
        <f>'Involving Light'!BT17</f>
        <v>1.9870179363956901</v>
      </c>
      <c r="BP21" s="128">
        <f t="shared" si="0"/>
        <v>1.9870179363956901</v>
      </c>
      <c r="BQ21" s="12"/>
      <c r="BR21" s="12"/>
      <c r="BS21" s="25"/>
    </row>
    <row r="22" spans="1:71" x14ac:dyDescent="0.35">
      <c r="A22" s="11"/>
      <c r="B22" s="12"/>
      <c r="C22" s="12" t="str">
        <f>'Involving Light'!D15</f>
        <v>Methanol</v>
      </c>
      <c r="D22" s="55">
        <f>'Involving Light'!AN16</f>
        <v>-1</v>
      </c>
      <c r="E22" s="55">
        <f>'Involving Light'!AO16</f>
        <v>0.21127631578947367</v>
      </c>
      <c r="F22" s="55">
        <f>'Involving Light'!AP16</f>
        <v>0</v>
      </c>
      <c r="G22" s="55">
        <f>'Involving Light'!AQ16</f>
        <v>0.5475988315066127</v>
      </c>
      <c r="H22" s="55">
        <f>'Involving Light'!AR16</f>
        <v>0.99967636236741952</v>
      </c>
      <c r="I22" s="55">
        <f>'Involving Light'!AS16</f>
        <v>0.75855150966350593</v>
      </c>
      <c r="J22" s="55">
        <f>'Involving Light'!AT16</f>
        <v>0.38513513513513509</v>
      </c>
      <c r="K22" s="12"/>
      <c r="L22" s="12"/>
      <c r="M22" s="25"/>
      <c r="O22" s="11" t="s">
        <v>53</v>
      </c>
      <c r="P22" s="12" t="s">
        <v>508</v>
      </c>
      <c r="Q22" s="12" t="s">
        <v>198</v>
      </c>
      <c r="R22" s="55">
        <f>'Involving Light'!R18</f>
        <v>-1.3680000000000001</v>
      </c>
      <c r="S22" s="55">
        <f>'Involving Light'!R20</f>
        <v>0.28902600000000001</v>
      </c>
      <c r="T22" s="55">
        <v>0</v>
      </c>
      <c r="U22" s="55">
        <f>'Involving Light'!R28</f>
        <v>0.74911520150104627</v>
      </c>
      <c r="V22" s="55">
        <f>'Involving Light'!R29</f>
        <v>1.36755726371863</v>
      </c>
      <c r="W22" s="55">
        <f>'Involving Light'!R30</f>
        <v>1.0376984652196761</v>
      </c>
      <c r="X22" s="55"/>
      <c r="Y22" s="12"/>
      <c r="Z22" s="12"/>
      <c r="AA22" s="12"/>
      <c r="AB22" s="12"/>
      <c r="AC22" s="12"/>
      <c r="AD22" s="12"/>
      <c r="AE22" s="12"/>
      <c r="AF22" s="12"/>
      <c r="AG22" s="12"/>
      <c r="AH22" s="25"/>
      <c r="AJ22" s="11"/>
      <c r="AK22" s="12"/>
      <c r="AL22" s="12"/>
      <c r="AM22" s="12"/>
      <c r="AN22" s="12"/>
      <c r="AO22" s="12"/>
      <c r="AP22" s="12"/>
      <c r="AQ22" s="12"/>
      <c r="AR22" s="12"/>
      <c r="AS22" s="12"/>
      <c r="AT22" s="12"/>
      <c r="AU22" s="202" t="s">
        <v>196</v>
      </c>
      <c r="AV22" s="201">
        <v>-0.19624998800640114</v>
      </c>
      <c r="AW22" s="201">
        <v>1.5046316099335548E-3</v>
      </c>
      <c r="AX22" s="201">
        <v>0</v>
      </c>
      <c r="AY22" s="201">
        <v>0.10183865001753753</v>
      </c>
      <c r="AZ22" s="201">
        <v>0.19611797166911787</v>
      </c>
      <c r="BA22" s="201">
        <v>0.10321126529018781</v>
      </c>
      <c r="BB22" s="199">
        <v>0.22700000000000001</v>
      </c>
      <c r="BD22" s="11"/>
      <c r="BE22" s="12"/>
      <c r="BF22" s="12" t="s">
        <v>53</v>
      </c>
      <c r="BG22" s="55">
        <f>'Involving Light'!BS16</f>
        <v>0.62671628636588905</v>
      </c>
      <c r="BH22" s="55"/>
      <c r="BI22" s="12"/>
      <c r="BJ22" s="25"/>
      <c r="BL22" s="11"/>
      <c r="BM22" s="12"/>
      <c r="BN22" s="12" t="s">
        <v>53</v>
      </c>
      <c r="BO22" s="66">
        <f>'Involving Light'!BT16</f>
        <v>2.1935070022806119E-2</v>
      </c>
      <c r="BP22" s="128">
        <f t="shared" si="0"/>
        <v>2.1935070022806119E-2</v>
      </c>
      <c r="BQ22" s="12"/>
      <c r="BR22" s="12"/>
      <c r="BS22" s="25"/>
    </row>
    <row r="23" spans="1:71" x14ac:dyDescent="0.35">
      <c r="A23" s="11" t="s">
        <v>509</v>
      </c>
      <c r="B23" s="12" t="str">
        <f>Bioconversion!AI13</f>
        <v>P-DE</v>
      </c>
      <c r="C23" s="12" t="str">
        <f>Bioconversion!AJ13</f>
        <v>Diesel</v>
      </c>
      <c r="D23" s="55">
        <f>Bioconversion!AK13</f>
        <v>-1</v>
      </c>
      <c r="E23" s="55">
        <f>Bioconversion!AL13</f>
        <v>0.18</v>
      </c>
      <c r="F23" s="55">
        <f>Bioconversion!AM13</f>
        <v>0</v>
      </c>
      <c r="G23" s="55">
        <f>Bioconversion!AN13</f>
        <v>0.59571110150696149</v>
      </c>
      <c r="H23" s="55">
        <f>Bioconversion!AO13</f>
        <v>0.36183724708314868</v>
      </c>
      <c r="I23" s="55">
        <f>Bioconversion!AP13</f>
        <v>0.13754834859011023</v>
      </c>
      <c r="J23" s="55">
        <f>Bioconversion!AQ13</f>
        <v>1.9269005847953216</v>
      </c>
      <c r="K23" s="55">
        <f>Bioconversion!AR13</f>
        <v>0</v>
      </c>
      <c r="L23" s="55">
        <f>Bioconversion!AS13</f>
        <v>0.64327485380116967</v>
      </c>
      <c r="M23" s="191"/>
      <c r="O23" s="118" t="s">
        <v>55</v>
      </c>
      <c r="P23" s="58" t="s">
        <v>509</v>
      </c>
      <c r="Q23" s="58" t="s">
        <v>377</v>
      </c>
      <c r="R23" s="55">
        <f>Bioconversion!AU13</f>
        <v>-8.1252000000000013</v>
      </c>
      <c r="S23" s="55">
        <f>Bioconversion!AV13</f>
        <v>1.4625360000000003</v>
      </c>
      <c r="T23" s="55">
        <f>Bioconversion!AW13</f>
        <v>0</v>
      </c>
      <c r="U23" s="55">
        <f>Bioconversion!AX13</f>
        <v>4.8402718419643644</v>
      </c>
      <c r="V23" s="55">
        <f>Bioconversion!AY13</f>
        <v>2.94</v>
      </c>
      <c r="W23" s="55">
        <f>Bioconversion!AZ13</f>
        <v>1.1176078419643627</v>
      </c>
      <c r="X23" s="55"/>
      <c r="Y23" s="12"/>
      <c r="Z23" s="12"/>
      <c r="AA23" s="12"/>
      <c r="AB23" s="12"/>
      <c r="AC23" s="12"/>
      <c r="AD23" s="12"/>
      <c r="AE23" s="12"/>
      <c r="AF23" s="12"/>
      <c r="AG23" s="12"/>
      <c r="AH23" s="25"/>
      <c r="AJ23" s="11"/>
      <c r="AK23" s="12"/>
      <c r="AL23" s="12"/>
      <c r="AM23" s="12"/>
      <c r="AN23" s="12"/>
      <c r="AO23" s="12"/>
      <c r="AP23" s="12"/>
      <c r="AQ23" s="12"/>
      <c r="AR23" s="12"/>
      <c r="AS23" s="12"/>
      <c r="AT23" s="12"/>
      <c r="AU23" s="203" t="s">
        <v>55</v>
      </c>
      <c r="AV23" s="201">
        <v>-7.3059981039147223E-2</v>
      </c>
      <c r="AW23" s="201">
        <v>5.6824429697114492E-4</v>
      </c>
      <c r="AX23" s="201">
        <v>0</v>
      </c>
      <c r="AY23" s="201">
        <v>4.7864602040475504E-2</v>
      </c>
      <c r="AZ23" s="201">
        <v>7.3059981039147223E-2</v>
      </c>
      <c r="BA23" s="201">
        <v>4.8432846337446656E-2</v>
      </c>
      <c r="BB23" s="199">
        <v>9.6000000000000002E-2</v>
      </c>
      <c r="BD23" s="11" t="s">
        <v>509</v>
      </c>
      <c r="BE23" s="58" t="s">
        <v>377</v>
      </c>
      <c r="BF23" s="58" t="s">
        <v>55</v>
      </c>
      <c r="BG23" s="55">
        <f>Bioconversion!BE13</f>
        <v>2.5470782651230177</v>
      </c>
      <c r="BH23" s="12"/>
      <c r="BI23" s="12"/>
      <c r="BJ23" s="25"/>
      <c r="BL23" s="11" t="s">
        <v>509</v>
      </c>
      <c r="BM23" s="58" t="s">
        <v>377</v>
      </c>
      <c r="BN23" s="58" t="s">
        <v>55</v>
      </c>
      <c r="BO23" s="128">
        <f>Bioconversion!BF13</f>
        <v>1.4645700024457351</v>
      </c>
      <c r="BP23" s="128">
        <f>IF(BO23&gt;0,BO23,0)</f>
        <v>1.4645700024457351</v>
      </c>
      <c r="BQ23" s="12"/>
      <c r="BR23" s="12"/>
      <c r="BS23" s="25"/>
    </row>
    <row r="24" spans="1:71" x14ac:dyDescent="0.35">
      <c r="A24" s="6"/>
      <c r="B24" s="7" t="str">
        <f>Bioconversion!AI14</f>
        <v>P-WE</v>
      </c>
      <c r="C24" s="7" t="str">
        <f>Bioconversion!AJ14</f>
        <v>Diesel</v>
      </c>
      <c r="D24" s="33">
        <f>Bioconversion!AK14</f>
        <v>-1</v>
      </c>
      <c r="E24" s="33">
        <f>Bioconversion!AL14</f>
        <v>0.18</v>
      </c>
      <c r="F24" s="33">
        <f>Bioconversion!AM14</f>
        <v>0</v>
      </c>
      <c r="G24" s="33">
        <f>Bioconversion!AN14</f>
        <v>0.11278106508875739</v>
      </c>
      <c r="H24" s="33">
        <f>Bioconversion!AO14</f>
        <v>0.86982248520710059</v>
      </c>
      <c r="I24" s="33">
        <f>Bioconversion!AP14</f>
        <v>0.16260355029585805</v>
      </c>
      <c r="J24" s="33">
        <f>Bioconversion!AQ14</f>
        <v>2.5105263157894737</v>
      </c>
      <c r="K24" s="33">
        <f>Bioconversion!AR14</f>
        <v>7.8947368421052599E-2</v>
      </c>
      <c r="L24" s="33">
        <f>Bioconversion!AS14</f>
        <v>0.49473684210526298</v>
      </c>
      <c r="M24" s="234"/>
      <c r="O24" s="118" t="s">
        <v>55</v>
      </c>
      <c r="P24" s="58" t="s">
        <v>509</v>
      </c>
      <c r="Q24" s="58" t="s">
        <v>378</v>
      </c>
      <c r="R24" s="55">
        <f>Bioconversion!AU14</f>
        <v>-3.38</v>
      </c>
      <c r="S24" s="55">
        <f>Bioconversion!AV14</f>
        <v>0.60839999999999994</v>
      </c>
      <c r="T24" s="55">
        <f>Bioconversion!AW14</f>
        <v>0</v>
      </c>
      <c r="U24" s="55">
        <f>Bioconversion!AX14</f>
        <v>0.38119999999999998</v>
      </c>
      <c r="V24" s="55">
        <f>Bioconversion!AY14</f>
        <v>2.94</v>
      </c>
      <c r="W24" s="55">
        <f>Bioconversion!AZ14</f>
        <v>0.54960000000000031</v>
      </c>
      <c r="X24" s="55"/>
      <c r="Y24" s="12"/>
      <c r="Z24" s="12"/>
      <c r="AA24" s="12"/>
      <c r="AB24" s="12"/>
      <c r="AC24" s="12"/>
      <c r="AD24" s="12"/>
      <c r="AE24" s="12"/>
      <c r="AF24" s="12"/>
      <c r="AG24" s="12"/>
      <c r="AH24" s="25"/>
      <c r="AJ24" s="11"/>
      <c r="AK24" s="12"/>
      <c r="AL24" s="12"/>
      <c r="AM24" s="12"/>
      <c r="AN24" s="12"/>
      <c r="AO24" s="12"/>
      <c r="AP24" s="12"/>
      <c r="AQ24" s="12"/>
      <c r="AR24" s="12"/>
      <c r="AS24" s="12"/>
      <c r="AT24" s="12"/>
      <c r="AU24" s="203" t="s">
        <v>51</v>
      </c>
      <c r="AV24" s="201">
        <v>-5.5E-2</v>
      </c>
      <c r="AW24" s="201">
        <v>4.2777777777777774E-4</v>
      </c>
      <c r="AX24" s="201">
        <v>0</v>
      </c>
      <c r="AY24" s="201">
        <v>1.6505511111111114E-2</v>
      </c>
      <c r="AZ24" s="201">
        <v>5.5E-2</v>
      </c>
      <c r="BA24" s="201">
        <v>1.6933288888888891E-2</v>
      </c>
      <c r="BB24" s="199">
        <v>6.0999999999999999E-2</v>
      </c>
      <c r="BD24" s="11"/>
      <c r="BE24" s="58" t="s">
        <v>378</v>
      </c>
      <c r="BF24" s="58" t="s">
        <v>55</v>
      </c>
      <c r="BG24" s="55">
        <f>Bioconversion!BE14</f>
        <v>3.1150861070873801</v>
      </c>
      <c r="BH24" s="12"/>
      <c r="BI24" s="12"/>
      <c r="BJ24" s="25"/>
      <c r="BL24" s="11"/>
      <c r="BM24" s="58" t="s">
        <v>378</v>
      </c>
      <c r="BN24" s="58" t="s">
        <v>55</v>
      </c>
      <c r="BO24" s="128">
        <f>Bioconversion!BF14</f>
        <v>1.7911745115752433</v>
      </c>
      <c r="BP24" s="128">
        <f>IF(BO24&gt;0,BO24,0)</f>
        <v>1.7911745115752433</v>
      </c>
      <c r="BQ24" s="12"/>
      <c r="BR24" s="12"/>
      <c r="BS24" s="25"/>
    </row>
    <row r="25" spans="1:71" x14ac:dyDescent="0.35">
      <c r="E25" s="2"/>
      <c r="F25" s="2"/>
      <c r="G25" s="2"/>
      <c r="H25" s="2"/>
      <c r="I25" s="2"/>
      <c r="O25" s="11" t="s">
        <v>51</v>
      </c>
      <c r="P25" s="12" t="s">
        <v>202</v>
      </c>
      <c r="Q25" s="12" t="s">
        <v>210</v>
      </c>
      <c r="R25" s="12"/>
      <c r="S25" s="12"/>
      <c r="T25" s="12"/>
      <c r="U25" s="12"/>
      <c r="V25" s="12"/>
      <c r="W25" s="55">
        <f>Incumbents!I39</f>
        <v>3.0234320938179122</v>
      </c>
      <c r="X25" s="12"/>
      <c r="Y25" s="12"/>
      <c r="Z25" s="12"/>
      <c r="AA25" s="12"/>
      <c r="AB25" s="12"/>
      <c r="AC25" s="12"/>
      <c r="AD25" s="12"/>
      <c r="AE25" s="12"/>
      <c r="AF25" s="12"/>
      <c r="AG25" s="12"/>
      <c r="AH25" s="25"/>
      <c r="AJ25" s="11"/>
      <c r="AK25" s="12"/>
      <c r="AL25" s="12"/>
      <c r="AM25" s="12"/>
      <c r="AN25" s="12"/>
      <c r="AO25" s="12"/>
      <c r="AP25" s="12"/>
      <c r="AQ25" s="12"/>
      <c r="AR25" s="12"/>
      <c r="AS25" s="12"/>
      <c r="AT25" s="12"/>
      <c r="AU25" s="203" t="s">
        <v>53</v>
      </c>
      <c r="AV25" s="201">
        <v>-6.8190006967253899E-2</v>
      </c>
      <c r="AW25" s="201">
        <v>5.0860953518463222E-4</v>
      </c>
      <c r="AX25" s="201">
        <v>0</v>
      </c>
      <c r="AY25" s="201">
        <v>3.7468536865950912E-2</v>
      </c>
      <c r="AZ25" s="201">
        <v>6.805799062997063E-2</v>
      </c>
      <c r="BA25" s="201">
        <v>3.7845130063852268E-2</v>
      </c>
      <c r="BB25" s="199">
        <v>7.0000000000000007E-2</v>
      </c>
      <c r="BD25" s="11"/>
      <c r="BE25" s="12"/>
      <c r="BF25" s="12"/>
      <c r="BG25" s="12"/>
      <c r="BH25" s="12"/>
      <c r="BI25" s="12"/>
      <c r="BJ25" s="25"/>
      <c r="BL25" s="11"/>
      <c r="BM25" s="12"/>
      <c r="BN25" s="12"/>
      <c r="BO25" s="12"/>
      <c r="BP25" s="12"/>
      <c r="BQ25" s="12"/>
      <c r="BR25" s="12"/>
      <c r="BS25" s="25"/>
    </row>
    <row r="26" spans="1:71" x14ac:dyDescent="0.35">
      <c r="E26" s="2"/>
      <c r="F26" s="2"/>
      <c r="G26" s="2"/>
      <c r="H26" s="2"/>
      <c r="I26" s="2"/>
      <c r="O26" s="11" t="s">
        <v>53</v>
      </c>
      <c r="P26" s="12" t="s">
        <v>202</v>
      </c>
      <c r="Q26" s="12" t="s">
        <v>211</v>
      </c>
      <c r="R26" s="12"/>
      <c r="S26" s="12"/>
      <c r="T26" s="12"/>
      <c r="U26" s="12"/>
      <c r="V26" s="12"/>
      <c r="W26" s="55">
        <f>Incumbents!I47</f>
        <v>1.6644147515855652</v>
      </c>
      <c r="X26" s="12"/>
      <c r="Y26" s="12"/>
      <c r="Z26" s="12"/>
      <c r="AA26" s="12"/>
      <c r="AB26" s="12"/>
      <c r="AC26" s="12"/>
      <c r="AD26" s="12"/>
      <c r="AE26" s="12"/>
      <c r="AF26" s="12"/>
      <c r="AG26" s="12"/>
      <c r="AH26" s="25"/>
      <c r="AJ26" s="11"/>
      <c r="AK26" s="12"/>
      <c r="AL26" s="12"/>
      <c r="AM26" s="12"/>
      <c r="AN26" s="12"/>
      <c r="AO26" s="12"/>
      <c r="AP26" s="12"/>
      <c r="AQ26" s="12"/>
      <c r="AR26" s="12"/>
      <c r="AS26" s="12"/>
      <c r="AT26" s="12"/>
      <c r="AU26" s="20" t="s">
        <v>199</v>
      </c>
      <c r="AV26" s="201">
        <v>-0.12342838658305963</v>
      </c>
      <c r="AW26" s="201">
        <v>1.0493738256330942E-3</v>
      </c>
      <c r="AX26" s="201">
        <v>0</v>
      </c>
      <c r="AY26" s="201">
        <v>5.0076860765785783E-2</v>
      </c>
      <c r="AZ26" s="201">
        <v>0.12305799062997064</v>
      </c>
      <c r="BA26" s="201">
        <v>5.075583863832988E-2</v>
      </c>
      <c r="BB26" s="199">
        <v>0.13100000000000001</v>
      </c>
      <c r="BD26" s="11"/>
      <c r="BE26" s="12"/>
      <c r="BF26" s="12"/>
      <c r="BG26" s="12"/>
      <c r="BH26" s="12"/>
      <c r="BI26" s="12"/>
      <c r="BJ26" s="25"/>
      <c r="BL26" s="11"/>
      <c r="BM26" s="12"/>
      <c r="BN26" s="12"/>
      <c r="BO26" s="12"/>
      <c r="BP26" s="12"/>
      <c r="BQ26" s="12"/>
      <c r="BR26" s="12"/>
      <c r="BS26" s="25"/>
    </row>
    <row r="27" spans="1:71" x14ac:dyDescent="0.35">
      <c r="E27" s="2"/>
      <c r="F27" s="2"/>
      <c r="G27" s="2"/>
      <c r="H27" s="2"/>
      <c r="I27" s="2"/>
      <c r="O27" s="11" t="s">
        <v>55</v>
      </c>
      <c r="P27" s="12" t="s">
        <v>202</v>
      </c>
      <c r="Q27" s="12" t="s">
        <v>211</v>
      </c>
      <c r="R27" s="12"/>
      <c r="S27" s="12"/>
      <c r="T27" s="12"/>
      <c r="U27" s="12"/>
      <c r="V27" s="12"/>
      <c r="W27" s="55">
        <f>Incumbents!I23</f>
        <v>3.6646861070873804</v>
      </c>
      <c r="X27" s="12"/>
      <c r="Y27" s="12"/>
      <c r="Z27" s="12"/>
      <c r="AA27" s="12"/>
      <c r="AB27" s="12"/>
      <c r="AC27" s="12"/>
      <c r="AD27" s="12"/>
      <c r="AE27" s="12"/>
      <c r="AF27" s="12"/>
      <c r="AG27" s="12"/>
      <c r="AH27" s="25"/>
      <c r="AJ27" s="11"/>
      <c r="AK27" s="55"/>
      <c r="AL27" s="55"/>
      <c r="AM27" s="55"/>
      <c r="AN27" s="55"/>
      <c r="AO27" s="55"/>
      <c r="AP27" s="55"/>
      <c r="AQ27" s="12"/>
      <c r="AR27" s="12"/>
      <c r="AS27" s="12"/>
      <c r="AT27" s="12"/>
      <c r="AU27" s="202" t="s">
        <v>198</v>
      </c>
      <c r="AV27" s="201">
        <v>-0.12342838658305963</v>
      </c>
      <c r="AW27" s="201">
        <v>1.0493738256330942E-3</v>
      </c>
      <c r="AX27" s="201">
        <v>0</v>
      </c>
      <c r="AY27" s="201">
        <v>5.0076860765785783E-2</v>
      </c>
      <c r="AZ27" s="201">
        <v>0.12305799062997064</v>
      </c>
      <c r="BA27" s="201">
        <v>5.075583863832988E-2</v>
      </c>
      <c r="BB27" s="199">
        <v>0.13100000000000001</v>
      </c>
      <c r="BD27" s="11"/>
      <c r="BE27" s="12"/>
      <c r="BF27" s="12"/>
      <c r="BG27" s="12"/>
      <c r="BH27" s="12"/>
      <c r="BI27" s="12"/>
      <c r="BJ27" s="25"/>
      <c r="BL27" s="11"/>
      <c r="BM27" s="12"/>
      <c r="BN27" s="12"/>
      <c r="BO27" s="12"/>
      <c r="BP27" s="12"/>
      <c r="BQ27" s="12"/>
      <c r="BR27" s="12"/>
      <c r="BS27" s="25"/>
    </row>
    <row r="28" spans="1:71" x14ac:dyDescent="0.35">
      <c r="E28" s="2"/>
      <c r="F28" s="2"/>
      <c r="G28" s="2"/>
      <c r="H28" s="2"/>
      <c r="I28" s="2"/>
      <c r="O28" s="11" t="s">
        <v>140</v>
      </c>
      <c r="P28" s="12" t="s">
        <v>202</v>
      </c>
      <c r="Q28" s="12" t="s">
        <v>211</v>
      </c>
      <c r="R28" s="12"/>
      <c r="S28" s="12"/>
      <c r="T28" s="12"/>
      <c r="U28" s="12"/>
      <c r="V28" s="12"/>
      <c r="W28" s="55">
        <f>Incumbents!I30</f>
        <v>2.6758306615703447</v>
      </c>
      <c r="X28" s="12"/>
      <c r="Y28" s="12"/>
      <c r="Z28" s="12"/>
      <c r="AA28" s="12"/>
      <c r="AB28" s="12"/>
      <c r="AC28" s="12"/>
      <c r="AD28" s="12"/>
      <c r="AE28" s="12"/>
      <c r="AF28" s="12"/>
      <c r="AG28" s="12"/>
      <c r="AH28" s="25"/>
      <c r="AJ28" s="11"/>
      <c r="AK28" s="55"/>
      <c r="AL28" s="55"/>
      <c r="AM28" s="55"/>
      <c r="AN28" s="55"/>
      <c r="AO28" s="55"/>
      <c r="AP28" s="55"/>
      <c r="AQ28" s="12"/>
      <c r="AR28" s="12"/>
      <c r="AS28" s="12"/>
      <c r="AT28" s="12"/>
      <c r="AU28" s="203" t="s">
        <v>51</v>
      </c>
      <c r="AV28" s="201">
        <v>-5.5E-2</v>
      </c>
      <c r="AW28" s="201">
        <v>4.8999999999999998E-4</v>
      </c>
      <c r="AX28" s="201">
        <v>0</v>
      </c>
      <c r="AY28" s="201">
        <v>1.5503783818852611E-2</v>
      </c>
      <c r="AZ28" s="201">
        <v>5.5E-2</v>
      </c>
      <c r="BA28" s="201">
        <v>1.5993783818852608E-2</v>
      </c>
      <c r="BB28" s="199">
        <v>6.0999999999999999E-2</v>
      </c>
      <c r="BD28" s="11"/>
      <c r="BE28" s="12"/>
      <c r="BF28" s="12"/>
      <c r="BG28" s="12"/>
      <c r="BH28" s="12"/>
      <c r="BI28" s="12"/>
      <c r="BJ28" s="25"/>
      <c r="BL28" s="11"/>
      <c r="BM28" s="12"/>
      <c r="BN28" s="12"/>
      <c r="BO28" s="12"/>
      <c r="BP28" s="12"/>
      <c r="BQ28" s="12"/>
      <c r="BR28" s="12"/>
      <c r="BS28" s="25"/>
    </row>
    <row r="29" spans="1:71" x14ac:dyDescent="0.35">
      <c r="O29" s="11" t="s">
        <v>89</v>
      </c>
      <c r="P29" s="55" t="s">
        <v>202</v>
      </c>
      <c r="Q29" s="55" t="s">
        <v>210</v>
      </c>
      <c r="R29" s="55"/>
      <c r="S29" s="55"/>
      <c r="T29" s="55"/>
      <c r="U29" s="55"/>
      <c r="V29" s="55"/>
      <c r="W29" s="196">
        <f>'Emission Factors'!$S$33</f>
        <v>0.82</v>
      </c>
      <c r="X29" s="55"/>
      <c r="Y29" s="12"/>
      <c r="Z29" s="12"/>
      <c r="AA29" s="12"/>
      <c r="AB29" s="12"/>
      <c r="AC29" s="12"/>
      <c r="AD29" s="12"/>
      <c r="AE29" s="12"/>
      <c r="AF29" s="12"/>
      <c r="AG29" s="12"/>
      <c r="AH29" s="25"/>
      <c r="AJ29" s="11"/>
      <c r="AK29" s="55"/>
      <c r="AL29" s="55"/>
      <c r="AM29" s="55"/>
      <c r="AN29" s="55"/>
      <c r="AO29" s="55"/>
      <c r="AP29" s="55"/>
      <c r="AQ29" s="12"/>
      <c r="AR29" s="12"/>
      <c r="AS29" s="12"/>
      <c r="AT29" s="12"/>
      <c r="AU29" s="203" t="s">
        <v>53</v>
      </c>
      <c r="AV29" s="201">
        <v>-6.8428386583059622E-2</v>
      </c>
      <c r="AW29" s="201">
        <v>5.5937382563309406E-4</v>
      </c>
      <c r="AX29" s="201">
        <v>0</v>
      </c>
      <c r="AY29" s="201">
        <v>3.4573076946933172E-2</v>
      </c>
      <c r="AZ29" s="201">
        <v>6.805799062997063E-2</v>
      </c>
      <c r="BA29" s="201">
        <v>3.4762054819477271E-2</v>
      </c>
      <c r="BB29" s="199">
        <v>7.0000000000000007E-2</v>
      </c>
      <c r="BD29" s="11"/>
      <c r="BE29" s="12"/>
      <c r="BF29" s="12"/>
      <c r="BG29" s="12"/>
      <c r="BH29" s="12"/>
      <c r="BI29" s="12"/>
      <c r="BJ29" s="25"/>
      <c r="BL29" s="11"/>
      <c r="BM29" s="12"/>
      <c r="BN29" s="12"/>
      <c r="BO29" s="12"/>
      <c r="BP29" s="12"/>
      <c r="BQ29" s="12"/>
      <c r="BR29" s="12"/>
      <c r="BS29" s="25"/>
    </row>
    <row r="30" spans="1:71" x14ac:dyDescent="0.35">
      <c r="O30" s="11" t="s">
        <v>91</v>
      </c>
      <c r="P30" s="55" t="s">
        <v>202</v>
      </c>
      <c r="Q30" s="55" t="s">
        <v>210</v>
      </c>
      <c r="R30" s="55"/>
      <c r="S30" s="55"/>
      <c r="T30" s="55"/>
      <c r="U30" s="55"/>
      <c r="V30" s="55"/>
      <c r="W30" s="196">
        <f>'Emission Factors'!$S$33</f>
        <v>0.82</v>
      </c>
      <c r="X30" s="55"/>
      <c r="Y30" s="12"/>
      <c r="Z30" s="12"/>
      <c r="AA30" s="12"/>
      <c r="AB30" s="12"/>
      <c r="AC30" s="12"/>
      <c r="AD30" s="12"/>
      <c r="AE30" s="12"/>
      <c r="AF30" s="12"/>
      <c r="AG30" s="12"/>
      <c r="AH30" s="25"/>
      <c r="AJ30" s="11"/>
      <c r="AK30" s="55"/>
      <c r="AL30" s="55"/>
      <c r="AM30" s="55"/>
      <c r="AN30" s="55" t="s">
        <v>45</v>
      </c>
      <c r="AO30" s="55"/>
      <c r="AP30" s="55"/>
      <c r="AQ30" s="12"/>
      <c r="AR30" s="12"/>
      <c r="AS30" s="12"/>
      <c r="AT30" s="12"/>
      <c r="AU30" s="20" t="s">
        <v>188</v>
      </c>
      <c r="AV30" s="201">
        <v>-0.93084408392541462</v>
      </c>
      <c r="AW30" s="201">
        <v>7.1234439648796321E-3</v>
      </c>
      <c r="AX30" s="201">
        <v>7.6391205703723111E-2</v>
      </c>
      <c r="AY30" s="201">
        <v>0.60438122742991363</v>
      </c>
      <c r="AZ30" s="201">
        <v>0.91618156364140069</v>
      </c>
      <c r="BA30" s="201">
        <v>0.67323335681450225</v>
      </c>
      <c r="BB30" s="199">
        <v>1.0295600000000003</v>
      </c>
      <c r="BD30" s="11"/>
      <c r="BE30" s="12"/>
      <c r="BF30" s="12"/>
      <c r="BG30" s="12"/>
      <c r="BH30" s="12"/>
      <c r="BI30" s="12"/>
      <c r="BJ30" s="25"/>
      <c r="BL30" s="11"/>
      <c r="BM30" s="12"/>
      <c r="BN30" s="12"/>
      <c r="BO30" s="12"/>
      <c r="BP30" s="12"/>
      <c r="BQ30" s="12"/>
      <c r="BR30" s="12"/>
      <c r="BS30" s="25"/>
    </row>
    <row r="31" spans="1:71" x14ac:dyDescent="0.35">
      <c r="O31" s="11" t="s">
        <v>281</v>
      </c>
      <c r="P31" s="55" t="s">
        <v>202</v>
      </c>
      <c r="Q31" s="55" t="s">
        <v>210</v>
      </c>
      <c r="R31" s="55"/>
      <c r="S31" s="55"/>
      <c r="T31" s="55"/>
      <c r="U31" s="55"/>
      <c r="V31" s="55"/>
      <c r="W31" s="196">
        <f>'Emission Factors'!$S$33</f>
        <v>0.82</v>
      </c>
      <c r="X31" s="55"/>
      <c r="Y31" s="12"/>
      <c r="Z31" s="12"/>
      <c r="AA31" s="12"/>
      <c r="AB31" s="12"/>
      <c r="AC31" s="12"/>
      <c r="AD31" s="12"/>
      <c r="AE31" s="12"/>
      <c r="AF31" s="12"/>
      <c r="AG31" s="12"/>
      <c r="AH31" s="25"/>
      <c r="AJ31" s="11"/>
      <c r="AK31" s="55"/>
      <c r="AL31" s="55"/>
      <c r="AM31" s="55"/>
      <c r="AN31" s="55"/>
      <c r="AO31" s="55"/>
      <c r="AP31" s="55"/>
      <c r="AQ31" s="12"/>
      <c r="AR31" s="12"/>
      <c r="AS31" s="12"/>
      <c r="AT31" s="12"/>
      <c r="AU31" s="12"/>
      <c r="AV31" s="12"/>
      <c r="AW31" s="12"/>
      <c r="AX31" s="12"/>
      <c r="AY31" s="12"/>
      <c r="AZ31" s="12"/>
      <c r="BA31" s="12"/>
      <c r="BB31" s="25"/>
      <c r="BD31" s="11"/>
      <c r="BE31" s="12"/>
      <c r="BF31" s="12"/>
      <c r="BG31" s="12"/>
      <c r="BH31" s="12"/>
      <c r="BI31" s="12"/>
      <c r="BJ31" s="25"/>
      <c r="BL31" s="11"/>
      <c r="BM31" s="12"/>
      <c r="BN31" s="12"/>
      <c r="BO31" s="12"/>
      <c r="BP31" s="12"/>
      <c r="BQ31" s="12"/>
      <c r="BR31" s="12"/>
      <c r="BS31" s="25"/>
    </row>
    <row r="32" spans="1:71" x14ac:dyDescent="0.35">
      <c r="O32" s="6"/>
      <c r="P32" s="7"/>
      <c r="Q32" s="7"/>
      <c r="R32" s="7"/>
      <c r="S32" s="7"/>
      <c r="T32" s="7"/>
      <c r="U32" s="7"/>
      <c r="V32" s="7"/>
      <c r="W32" s="7"/>
      <c r="X32" s="33"/>
      <c r="Y32" s="7"/>
      <c r="Z32" s="7"/>
      <c r="AA32" s="7"/>
      <c r="AB32" s="7"/>
      <c r="AC32" s="7"/>
      <c r="AD32" s="7"/>
      <c r="AE32" s="7"/>
      <c r="AF32" s="7"/>
      <c r="AG32" s="7"/>
      <c r="AH32" s="26"/>
      <c r="AJ32" s="11"/>
      <c r="AK32" s="55"/>
      <c r="AL32" s="55"/>
      <c r="AM32" s="55"/>
      <c r="AN32" s="55"/>
      <c r="AO32" s="55"/>
      <c r="AP32" s="55"/>
      <c r="AQ32" s="12"/>
      <c r="AR32" s="12"/>
      <c r="AS32" s="12"/>
      <c r="AT32" s="12"/>
      <c r="AU32" s="12"/>
      <c r="AV32" s="12"/>
      <c r="AW32" s="12"/>
      <c r="AX32" s="12"/>
      <c r="AY32" s="12"/>
      <c r="AZ32" s="12"/>
      <c r="BA32" s="12"/>
      <c r="BB32" s="25"/>
      <c r="BD32" s="6"/>
      <c r="BE32" s="7"/>
      <c r="BF32" s="7"/>
      <c r="BG32" s="7"/>
      <c r="BH32" s="7"/>
      <c r="BI32" s="7"/>
      <c r="BJ32" s="26"/>
      <c r="BL32" s="6"/>
      <c r="BM32" s="7"/>
      <c r="BN32" s="7"/>
      <c r="BO32" s="7"/>
      <c r="BP32" s="7"/>
      <c r="BQ32" s="7"/>
      <c r="BR32" s="7"/>
      <c r="BS32" s="26"/>
    </row>
    <row r="33" spans="4:74" x14ac:dyDescent="0.35">
      <c r="X33" s="80"/>
      <c r="AI33" s="12"/>
      <c r="AJ33" s="12"/>
      <c r="AK33" s="55"/>
      <c r="AL33" s="55"/>
      <c r="AM33" s="55"/>
      <c r="AN33" s="55"/>
      <c r="AO33" s="55" t="s">
        <v>45</v>
      </c>
      <c r="AP33" s="55"/>
      <c r="AQ33" s="12"/>
      <c r="AR33" s="12"/>
      <c r="AS33" s="12"/>
      <c r="AT33" s="12"/>
      <c r="AU33" s="12"/>
      <c r="AV33" s="12"/>
      <c r="AW33" s="12"/>
      <c r="AX33" s="12"/>
      <c r="AY33" s="12"/>
      <c r="AZ33" s="12"/>
      <c r="BA33" s="12"/>
      <c r="BB33" s="12"/>
      <c r="BC33" s="12"/>
      <c r="BD33" s="12"/>
      <c r="BE33" s="12"/>
      <c r="BF33" s="12"/>
      <c r="BG33" s="12"/>
      <c r="BH33" s="12"/>
      <c r="BI33" s="12"/>
      <c r="BJ33" s="12"/>
      <c r="BK33" s="12"/>
      <c r="BL33" s="12"/>
      <c r="BM33" s="12"/>
      <c r="BN33" s="12"/>
      <c r="BO33" s="12"/>
      <c r="BP33" s="12"/>
      <c r="BQ33" s="12"/>
    </row>
    <row r="34" spans="4:74" x14ac:dyDescent="0.35">
      <c r="X34" s="80"/>
      <c r="AI34" s="12"/>
      <c r="AJ34" s="12"/>
      <c r="AK34" s="55"/>
      <c r="AL34" s="55"/>
      <c r="AM34" s="55"/>
      <c r="AN34" s="55"/>
      <c r="AO34" s="55"/>
      <c r="AP34" s="55"/>
      <c r="AQ34" s="12"/>
      <c r="AR34" s="12"/>
      <c r="AS34" s="12"/>
      <c r="AT34" s="12"/>
      <c r="AU34" s="12"/>
      <c r="AV34" s="12"/>
      <c r="AW34" s="12"/>
      <c r="AX34" s="12"/>
      <c r="AY34" s="12"/>
      <c r="AZ34" s="12"/>
      <c r="BA34" s="12"/>
      <c r="BB34" s="12"/>
      <c r="BC34" s="12"/>
      <c r="BD34" s="12"/>
      <c r="BE34" s="12"/>
      <c r="BF34" s="12"/>
      <c r="BG34" s="12"/>
      <c r="BH34" s="12"/>
      <c r="BI34" s="12"/>
      <c r="BJ34" s="12"/>
      <c r="BK34" s="12"/>
      <c r="BL34" s="12"/>
      <c r="BM34" s="12"/>
      <c r="BN34" s="12"/>
      <c r="BO34" s="12"/>
      <c r="BP34" s="12"/>
      <c r="BQ34" s="12"/>
    </row>
    <row r="35" spans="4:74" x14ac:dyDescent="0.35">
      <c r="P35" s="2"/>
      <c r="Q35" s="80"/>
      <c r="R35" s="80"/>
      <c r="S35" s="80"/>
      <c r="T35" s="80"/>
      <c r="U35" s="80"/>
      <c r="V35" s="80"/>
      <c r="W35" s="80"/>
      <c r="X35" s="80"/>
      <c r="AI35" s="12"/>
      <c r="AJ35" s="12"/>
      <c r="AK35" s="55"/>
      <c r="AL35" s="55"/>
      <c r="AM35" s="55"/>
      <c r="AN35" s="55"/>
      <c r="AO35" s="55"/>
      <c r="AP35" s="55"/>
      <c r="AQ35" s="12"/>
      <c r="AR35" s="12"/>
      <c r="AS35" s="12"/>
      <c r="AT35" s="12"/>
      <c r="AU35" s="12"/>
      <c r="AV35" s="12"/>
      <c r="AW35" s="12"/>
      <c r="AX35" s="12"/>
      <c r="AY35" s="12"/>
      <c r="AZ35" s="12"/>
      <c r="BA35" s="12"/>
      <c r="BB35" s="12"/>
      <c r="BC35" s="12"/>
      <c r="BD35" s="12"/>
      <c r="BE35" s="12"/>
      <c r="BF35" s="12"/>
      <c r="BG35" s="12"/>
      <c r="BH35" s="12"/>
      <c r="BI35" s="12"/>
      <c r="BJ35" s="12"/>
      <c r="BK35" s="12"/>
      <c r="BL35" s="12"/>
      <c r="BM35" s="12"/>
      <c r="BN35" s="12"/>
      <c r="BO35" s="12"/>
      <c r="BP35" s="12"/>
      <c r="BQ35" s="12"/>
    </row>
    <row r="36" spans="4:74" x14ac:dyDescent="0.35">
      <c r="D36" s="2"/>
      <c r="E36" s="2"/>
      <c r="F36" s="2"/>
      <c r="G36" s="2"/>
      <c r="H36" s="2"/>
      <c r="P36" s="2"/>
      <c r="Q36" s="80"/>
      <c r="R36" s="80"/>
      <c r="S36" s="80"/>
      <c r="T36" s="80"/>
      <c r="U36" s="80"/>
      <c r="V36" s="80"/>
      <c r="W36" s="80"/>
      <c r="X36" s="80"/>
      <c r="AI36" s="12"/>
      <c r="AJ36" s="12"/>
      <c r="AK36" s="55"/>
      <c r="AL36" s="55"/>
      <c r="AM36" s="55"/>
      <c r="AN36" s="55"/>
      <c r="AO36" s="55"/>
      <c r="AP36" s="55"/>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2"/>
      <c r="BQ36" s="12"/>
    </row>
    <row r="37" spans="4:74" x14ac:dyDescent="0.35">
      <c r="P37" s="2"/>
      <c r="Q37" s="80"/>
      <c r="R37" s="80"/>
      <c r="S37" s="80"/>
      <c r="T37" s="80"/>
      <c r="U37" s="80"/>
      <c r="V37" s="80"/>
      <c r="W37" s="80"/>
      <c r="X37" s="80"/>
      <c r="AI37" s="12"/>
      <c r="AJ37" s="12"/>
      <c r="AK37" s="55"/>
      <c r="AL37" s="55"/>
      <c r="AM37" s="55"/>
      <c r="AN37" s="55"/>
      <c r="AO37" s="55"/>
      <c r="AP37" s="55"/>
      <c r="AQ37" s="12"/>
      <c r="AR37" s="12"/>
      <c r="AS37" s="12"/>
      <c r="AT37" s="12"/>
      <c r="AU37" s="12"/>
      <c r="AV37" s="12"/>
      <c r="AW37" s="12"/>
      <c r="AX37" s="12"/>
      <c r="AY37" s="12"/>
      <c r="AZ37" s="12"/>
      <c r="BA37" s="12"/>
      <c r="BB37" s="12"/>
      <c r="BC37" s="12"/>
      <c r="BD37" s="12"/>
      <c r="BE37" s="12"/>
      <c r="BF37" s="12"/>
      <c r="BG37" s="12"/>
      <c r="BH37" s="12"/>
      <c r="BI37" s="12"/>
      <c r="BJ37" s="12"/>
      <c r="BK37" s="12"/>
      <c r="BL37" s="12"/>
      <c r="BM37" s="12"/>
      <c r="BN37" s="12"/>
      <c r="BO37" s="12"/>
      <c r="BP37" s="12"/>
      <c r="BQ37" s="12"/>
    </row>
    <row r="38" spans="4:74" x14ac:dyDescent="0.35">
      <c r="AI38" s="12"/>
      <c r="AJ38" s="12"/>
      <c r="AK38" s="55"/>
      <c r="AL38" s="55"/>
      <c r="AM38" s="55"/>
      <c r="AN38" s="55"/>
      <c r="AO38" s="55"/>
      <c r="AP38" s="55"/>
      <c r="AQ38" s="12"/>
      <c r="AR38" s="12"/>
      <c r="AS38" s="12"/>
      <c r="AT38" s="12"/>
      <c r="AU38" s="12"/>
      <c r="AV38" s="12"/>
      <c r="AW38" s="12"/>
      <c r="AX38" s="12"/>
      <c r="AY38" s="12"/>
      <c r="AZ38" s="12"/>
      <c r="BA38" s="12"/>
      <c r="BB38" s="12"/>
      <c r="BC38" s="12"/>
      <c r="BD38" s="12"/>
      <c r="BE38" s="12"/>
      <c r="BF38" s="12"/>
      <c r="BG38" s="12"/>
      <c r="BH38" s="12"/>
      <c r="BI38" s="12"/>
      <c r="BJ38" s="12"/>
      <c r="BK38" s="12"/>
      <c r="BL38" s="12"/>
      <c r="BM38" s="12"/>
      <c r="BN38" s="12"/>
      <c r="BO38" s="12"/>
      <c r="BP38" s="12"/>
      <c r="BQ38" s="12"/>
      <c r="BR38" s="12"/>
      <c r="BS38" s="12"/>
      <c r="BT38" s="12"/>
      <c r="BU38" s="12"/>
      <c r="BV38" s="12"/>
    </row>
    <row r="39" spans="4:74" x14ac:dyDescent="0.35">
      <c r="Q39" s="86"/>
      <c r="R39" s="86"/>
      <c r="S39" s="86"/>
      <c r="T39" s="86"/>
      <c r="U39" s="86"/>
      <c r="V39" s="86"/>
      <c r="W39" s="86"/>
      <c r="X39" s="86"/>
      <c r="AI39" s="12"/>
      <c r="AJ39" s="12"/>
      <c r="AK39" s="12"/>
      <c r="AL39" s="12"/>
      <c r="AM39" s="12"/>
      <c r="AN39" s="12"/>
      <c r="AO39" s="12"/>
      <c r="AP39" s="12"/>
      <c r="AQ39" s="12"/>
      <c r="AR39" s="12"/>
      <c r="AS39" s="12"/>
      <c r="AT39" s="12"/>
      <c r="AU39" s="12"/>
      <c r="AV39" s="12"/>
      <c r="AW39" s="12"/>
      <c r="AX39" s="12"/>
      <c r="AY39" s="12"/>
      <c r="AZ39" s="12"/>
      <c r="BA39" s="12"/>
      <c r="BB39" s="12"/>
      <c r="BC39" s="12"/>
      <c r="BD39" s="12"/>
      <c r="BE39" s="12"/>
      <c r="BF39" s="12"/>
      <c r="BG39" s="12"/>
      <c r="BH39" s="12"/>
      <c r="BI39" s="12"/>
      <c r="BJ39" s="12"/>
      <c r="BK39" s="12"/>
      <c r="BL39" s="12"/>
      <c r="BM39" s="12"/>
      <c r="BN39" s="12"/>
      <c r="BO39" s="12"/>
      <c r="BP39" s="12"/>
      <c r="BQ39" s="12"/>
      <c r="BR39" s="12"/>
      <c r="BS39" s="12"/>
      <c r="BT39" s="12"/>
      <c r="BU39" s="12"/>
      <c r="BV39" s="12"/>
    </row>
    <row r="40" spans="4:74" x14ac:dyDescent="0.35">
      <c r="AI40" s="12"/>
      <c r="AJ40" s="12"/>
      <c r="AK40" s="12"/>
      <c r="AL40" s="12"/>
      <c r="AM40" s="12"/>
      <c r="AN40" s="12"/>
      <c r="AO40" s="12"/>
      <c r="AP40" s="12"/>
      <c r="AQ40" s="12"/>
      <c r="AR40" s="12"/>
      <c r="AS40" s="12"/>
      <c r="AT40" s="12"/>
      <c r="AU40" s="12"/>
      <c r="AV40" s="12"/>
      <c r="AW40" s="12"/>
      <c r="AX40" s="12"/>
      <c r="AY40" s="12"/>
      <c r="AZ40" s="12"/>
      <c r="BA40" s="12"/>
      <c r="BB40" s="12"/>
      <c r="BC40" s="12"/>
      <c r="BD40" s="12"/>
      <c r="BE40" s="12"/>
      <c r="BF40" s="12"/>
      <c r="BG40" s="12"/>
      <c r="BH40" s="12"/>
      <c r="BI40" s="12"/>
      <c r="BJ40" s="12"/>
      <c r="BK40" s="12"/>
      <c r="BL40" s="12"/>
      <c r="BM40" s="12"/>
      <c r="BN40" s="12"/>
      <c r="BO40" s="12"/>
      <c r="BP40" s="12"/>
      <c r="BQ40" s="12"/>
      <c r="BR40" s="12"/>
      <c r="BS40" s="12"/>
      <c r="BT40" s="12"/>
      <c r="BU40" s="12"/>
      <c r="BV40" s="12"/>
    </row>
    <row r="41" spans="4:74" x14ac:dyDescent="0.35">
      <c r="AI41" s="12"/>
      <c r="AJ41" s="12"/>
      <c r="AK41" s="12"/>
      <c r="AL41" s="12"/>
      <c r="AM41" s="12"/>
      <c r="AN41" s="12"/>
      <c r="AO41" s="12"/>
      <c r="AP41" s="12"/>
      <c r="AQ41" s="12"/>
      <c r="AR41" s="12"/>
      <c r="AS41" s="12"/>
      <c r="AT41" s="12"/>
      <c r="AU41" s="12"/>
      <c r="AV41" s="12"/>
      <c r="AW41" s="12"/>
      <c r="AX41" s="12"/>
      <c r="AY41" s="12"/>
      <c r="AZ41" s="12"/>
      <c r="BA41" s="12"/>
      <c r="BB41" s="12"/>
      <c r="BC41" s="12"/>
      <c r="BD41" s="12"/>
      <c r="BE41" s="12"/>
      <c r="BF41" s="12"/>
      <c r="BG41" s="12"/>
      <c r="BH41" s="12"/>
      <c r="BI41" s="12"/>
      <c r="BJ41" s="12"/>
      <c r="BK41" s="12"/>
      <c r="BL41" s="12"/>
      <c r="BM41" s="12"/>
      <c r="BN41" s="12"/>
      <c r="BO41" s="12"/>
      <c r="BP41" s="12"/>
      <c r="BQ41" s="12"/>
      <c r="BR41" s="12"/>
      <c r="BS41" s="12"/>
      <c r="BT41" s="12"/>
      <c r="BU41" s="12"/>
      <c r="BV41" s="12"/>
    </row>
    <row r="42" spans="4:74" x14ac:dyDescent="0.35">
      <c r="AI42" s="12"/>
      <c r="AJ42" s="12"/>
      <c r="AK42" s="12"/>
      <c r="AL42" s="12"/>
      <c r="AM42" s="12"/>
      <c r="AN42" s="12"/>
      <c r="AO42" s="12"/>
      <c r="AP42" s="12"/>
      <c r="AQ42" s="12"/>
      <c r="AR42" s="12"/>
      <c r="AS42" s="12"/>
      <c r="AT42" s="12"/>
      <c r="AU42" s="12"/>
      <c r="AV42" s="12"/>
      <c r="AW42" s="12"/>
      <c r="AX42" s="12"/>
      <c r="AY42" s="12"/>
      <c r="AZ42" s="12"/>
      <c r="BA42" s="12"/>
      <c r="BB42" s="12"/>
      <c r="BC42" s="12"/>
      <c r="BD42" s="12"/>
      <c r="BE42" s="12"/>
      <c r="BF42" s="12"/>
      <c r="BG42" s="12"/>
      <c r="BH42" s="12"/>
      <c r="BI42" s="12"/>
      <c r="BJ42" s="12"/>
      <c r="BK42" s="12"/>
      <c r="BL42" s="12"/>
    </row>
  </sheetData>
  <mergeCells count="3">
    <mergeCell ref="B4:M4"/>
    <mergeCell ref="R4:W4"/>
    <mergeCell ref="BO3:BP3"/>
  </mergeCells>
  <pageMargins left="0.7" right="0.7" top="0.75" bottom="0.75" header="0.3" footer="0.3"/>
  <pageSetup orientation="portrait" horizontalDpi="1200" verticalDpi="120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4BA9C-2AAC-4793-BDC0-3271D21C1FC7}">
  <sheetPr codeName="Sheet4">
    <tabColor theme="4"/>
  </sheetPr>
  <dimension ref="A1:BL51"/>
  <sheetViews>
    <sheetView zoomScaleNormal="100" workbookViewId="0">
      <selection activeCell="A2" sqref="A2:G3"/>
    </sheetView>
  </sheetViews>
  <sheetFormatPr defaultColWidth="8.81640625" defaultRowHeight="14.5" x14ac:dyDescent="0.35"/>
  <cols>
    <col min="13" max="13" width="8.26953125" customWidth="1"/>
    <col min="14" max="14" width="8.6328125" customWidth="1"/>
    <col min="23" max="36" width="8.6328125" customWidth="1"/>
    <col min="40" max="45" width="8.6328125" customWidth="1"/>
    <col min="46" max="49" width="8.6328125" hidden="1" customWidth="1"/>
    <col min="50" max="55" width="8.6328125" customWidth="1"/>
    <col min="56" max="56" width="8.81640625" customWidth="1"/>
    <col min="58" max="58" width="9.6328125" customWidth="1"/>
    <col min="59" max="59" width="9.7265625" customWidth="1"/>
    <col min="61" max="61" width="8.81640625" customWidth="1"/>
    <col min="62" max="62" width="18.7265625" bestFit="1" customWidth="1"/>
    <col min="63" max="63" width="18.26953125" bestFit="1" customWidth="1"/>
  </cols>
  <sheetData>
    <row r="1" spans="1:64" ht="14.5" customHeight="1" x14ac:dyDescent="0.35"/>
    <row r="2" spans="1:64" ht="14.5" customHeight="1" x14ac:dyDescent="0.45">
      <c r="A2" s="488" t="s">
        <v>559</v>
      </c>
      <c r="B2" s="488"/>
      <c r="C2" s="488"/>
      <c r="D2" s="488"/>
      <c r="E2" s="488"/>
      <c r="F2" s="488"/>
      <c r="G2" s="488"/>
      <c r="H2" s="157"/>
      <c r="I2" s="489" t="s">
        <v>517</v>
      </c>
      <c r="J2" s="302" t="s">
        <v>519</v>
      </c>
      <c r="K2" s="302"/>
      <c r="L2" s="302"/>
      <c r="M2" s="4" t="s">
        <v>522</v>
      </c>
      <c r="N2" s="4"/>
      <c r="O2" s="4"/>
      <c r="P2" s="4"/>
      <c r="Q2" s="4"/>
      <c r="R2" s="4"/>
      <c r="S2" s="4"/>
      <c r="T2" s="4"/>
      <c r="U2" s="4"/>
      <c r="V2" s="4"/>
      <c r="W2" s="5"/>
      <c r="Y2" s="43"/>
      <c r="Z2" t="s">
        <v>527</v>
      </c>
    </row>
    <row r="3" spans="1:64" ht="14.5" customHeight="1" x14ac:dyDescent="0.45">
      <c r="A3" s="488"/>
      <c r="B3" s="488"/>
      <c r="C3" s="488"/>
      <c r="D3" s="488"/>
      <c r="E3" s="488"/>
      <c r="F3" s="488"/>
      <c r="G3" s="488"/>
      <c r="H3" s="157"/>
      <c r="I3" s="490"/>
      <c r="J3" s="296" t="s">
        <v>520</v>
      </c>
      <c r="K3" s="296"/>
      <c r="L3" s="296"/>
      <c r="M3" s="12" t="s">
        <v>523</v>
      </c>
      <c r="N3" s="12"/>
      <c r="O3" s="12"/>
      <c r="P3" s="12"/>
      <c r="Q3" s="12"/>
      <c r="R3" s="12"/>
      <c r="S3" s="12"/>
      <c r="T3" s="12"/>
      <c r="U3" s="12"/>
      <c r="V3" s="12"/>
      <c r="W3" s="25"/>
    </row>
    <row r="4" spans="1:64" ht="15.5" x14ac:dyDescent="0.35">
      <c r="B4" s="70"/>
      <c r="C4" s="70"/>
      <c r="D4" s="70"/>
      <c r="E4" s="70"/>
      <c r="F4" s="70"/>
      <c r="G4" s="70"/>
      <c r="H4" s="70"/>
      <c r="I4" s="490"/>
      <c r="J4" s="303" t="s">
        <v>143</v>
      </c>
      <c r="K4" s="304"/>
      <c r="L4" s="304"/>
      <c r="M4" s="12" t="s">
        <v>518</v>
      </c>
      <c r="N4" s="12"/>
      <c r="O4" s="12"/>
      <c r="P4" s="12"/>
      <c r="Q4" s="12"/>
      <c r="R4" s="12"/>
      <c r="S4" s="12"/>
      <c r="T4" s="12"/>
      <c r="U4" s="12"/>
      <c r="V4" s="12"/>
      <c r="W4" s="25"/>
    </row>
    <row r="5" spans="1:64" ht="16.5" x14ac:dyDescent="0.45">
      <c r="B5" s="27"/>
      <c r="C5" s="70"/>
      <c r="D5" s="70"/>
      <c r="E5" s="70"/>
      <c r="F5" s="70"/>
      <c r="G5" s="70"/>
      <c r="H5" s="70"/>
      <c r="I5" s="490"/>
      <c r="J5" s="305" t="s">
        <v>521</v>
      </c>
      <c r="K5" s="305"/>
      <c r="L5" s="305"/>
      <c r="M5" s="12" t="s">
        <v>524</v>
      </c>
      <c r="N5" s="12"/>
      <c r="O5" s="12"/>
      <c r="P5" s="12"/>
      <c r="Q5" s="12"/>
      <c r="R5" s="12"/>
      <c r="S5" s="12"/>
      <c r="T5" s="12"/>
      <c r="U5" s="12"/>
      <c r="V5" s="12"/>
      <c r="W5" s="25"/>
    </row>
    <row r="6" spans="1:64" x14ac:dyDescent="0.35">
      <c r="C6" t="s">
        <v>47</v>
      </c>
      <c r="F6" t="s">
        <v>48</v>
      </c>
      <c r="I6" s="490"/>
      <c r="J6" s="306" t="s">
        <v>62</v>
      </c>
      <c r="K6" s="307"/>
      <c r="L6" s="307"/>
      <c r="M6" s="12" t="s">
        <v>525</v>
      </c>
      <c r="N6" s="12"/>
      <c r="O6" s="12"/>
      <c r="P6" s="12"/>
      <c r="Q6" s="12"/>
      <c r="R6" s="12"/>
      <c r="S6" s="12"/>
      <c r="T6" s="12"/>
      <c r="U6" s="12"/>
      <c r="V6" s="12"/>
      <c r="W6" s="25"/>
    </row>
    <row r="7" spans="1:64" x14ac:dyDescent="0.35">
      <c r="C7" t="s">
        <v>175</v>
      </c>
      <c r="F7" t="s">
        <v>53</v>
      </c>
      <c r="I7" s="491"/>
      <c r="J7" s="308" t="s">
        <v>33</v>
      </c>
      <c r="K7" s="308"/>
      <c r="L7" s="308"/>
      <c r="M7" s="7" t="s">
        <v>526</v>
      </c>
      <c r="N7" s="7"/>
      <c r="O7" s="7"/>
      <c r="P7" s="7"/>
      <c r="Q7" s="7"/>
      <c r="R7" s="7"/>
      <c r="S7" s="7"/>
      <c r="T7" s="7"/>
      <c r="U7" s="7"/>
      <c r="V7" s="7"/>
      <c r="W7" s="26"/>
    </row>
    <row r="8" spans="1:64" x14ac:dyDescent="0.35">
      <c r="C8" t="s">
        <v>176</v>
      </c>
    </row>
    <row r="9" spans="1:64" ht="15.5" x14ac:dyDescent="0.35">
      <c r="G9" s="70"/>
    </row>
    <row r="10" spans="1:64" ht="15.5" x14ac:dyDescent="0.35">
      <c r="G10" s="70"/>
      <c r="K10" t="s">
        <v>64</v>
      </c>
      <c r="O10" t="s">
        <v>65</v>
      </c>
      <c r="S10" t="s">
        <v>67</v>
      </c>
      <c r="X10" t="s">
        <v>15</v>
      </c>
    </row>
    <row r="11" spans="1:64" x14ac:dyDescent="0.35">
      <c r="B11" s="35" t="s">
        <v>63</v>
      </c>
      <c r="C11" s="63" t="s">
        <v>300</v>
      </c>
      <c r="D11" s="63"/>
      <c r="E11" s="63"/>
      <c r="F11" s="63" t="s">
        <v>300</v>
      </c>
      <c r="G11" s="35"/>
      <c r="H11" s="35"/>
      <c r="I11" s="63"/>
      <c r="J11" s="35"/>
      <c r="K11" s="44">
        <f>'Emission Factors'!G9</f>
        <v>2</v>
      </c>
      <c r="L11" s="44" t="str">
        <f>'Emission Factors'!C10</f>
        <v>Natural gas</v>
      </c>
      <c r="M11" s="44">
        <f>'Emission Factors'!G10</f>
        <v>0.49</v>
      </c>
      <c r="N11" s="35"/>
      <c r="O11" s="44">
        <f>'Emission Factors'!G23</f>
        <v>2</v>
      </c>
      <c r="P11" s="44" t="str">
        <f>'Emission Factors'!C24</f>
        <v>Natural gas industrial furnace</v>
      </c>
      <c r="Q11" s="44">
        <f>'Emission Factors'!G24</f>
        <v>0.25</v>
      </c>
      <c r="R11" s="35"/>
      <c r="S11" s="44">
        <f>'Emission Factors'!G30</f>
        <v>2</v>
      </c>
      <c r="T11" s="44" t="str">
        <f>'Emission Factors'!C31</f>
        <v>Steam methane reforming</v>
      </c>
      <c r="U11" s="44"/>
      <c r="V11" s="44">
        <f>'Emission Factors'!G31</f>
        <v>10.62</v>
      </c>
      <c r="W11" s="35"/>
      <c r="X11" s="44">
        <f>'Emission Factors'!G37</f>
        <v>2</v>
      </c>
      <c r="Y11" s="44" t="str">
        <f>'Emission Factors'!C38</f>
        <v>Natural gas power plant</v>
      </c>
      <c r="Z11" s="44">
        <f>'Emission Factors'!G38</f>
        <v>0.18</v>
      </c>
    </row>
    <row r="13" spans="1:64" x14ac:dyDescent="0.35">
      <c r="B13" s="16" t="s">
        <v>46</v>
      </c>
      <c r="C13" s="15"/>
      <c r="D13" s="16" t="s">
        <v>175</v>
      </c>
      <c r="E13" s="15"/>
      <c r="F13" s="15"/>
      <c r="G13" s="15"/>
      <c r="H13" s="15"/>
      <c r="I13" s="15"/>
      <c r="J13" s="15"/>
      <c r="K13" s="15"/>
      <c r="L13" s="15"/>
      <c r="M13" s="15"/>
      <c r="N13" s="15"/>
      <c r="O13" s="15"/>
      <c r="P13" s="15"/>
      <c r="Q13" s="15"/>
      <c r="R13" s="15"/>
      <c r="S13" s="15"/>
      <c r="T13" s="15"/>
    </row>
    <row r="15" spans="1:64" x14ac:dyDescent="0.35">
      <c r="C15" s="40" t="s">
        <v>44</v>
      </c>
      <c r="D15" s="40" t="s">
        <v>53</v>
      </c>
      <c r="E15" s="39"/>
      <c r="F15" s="39" t="s">
        <v>379</v>
      </c>
      <c r="G15" s="39" t="s">
        <v>388</v>
      </c>
      <c r="H15" s="39"/>
      <c r="I15" s="39"/>
      <c r="J15" s="39"/>
      <c r="K15" s="39"/>
      <c r="L15" s="39"/>
      <c r="M15" s="39"/>
      <c r="N15" s="39"/>
      <c r="O15" s="39"/>
      <c r="P15" s="39"/>
      <c r="Q15" s="39"/>
      <c r="R15" s="39"/>
      <c r="S15" s="39"/>
      <c r="T15" s="39"/>
      <c r="AK15" s="319"/>
      <c r="AL15" s="319"/>
      <c r="AM15" s="319"/>
      <c r="AN15" s="358" t="s">
        <v>186</v>
      </c>
      <c r="AO15" s="326"/>
      <c r="AP15" s="326"/>
      <c r="AQ15" s="326"/>
      <c r="AR15" s="326"/>
      <c r="AS15" s="359"/>
      <c r="AT15" s="319"/>
      <c r="AU15" s="319"/>
      <c r="AV15" s="319"/>
      <c r="AW15" s="319"/>
      <c r="AX15" s="358" t="s">
        <v>186</v>
      </c>
      <c r="AY15" s="326"/>
      <c r="AZ15" s="326"/>
      <c r="BA15" s="326"/>
      <c r="BB15" s="326"/>
      <c r="BC15" s="359"/>
      <c r="BD15" s="358" t="s">
        <v>186</v>
      </c>
      <c r="BE15" s="326"/>
      <c r="BF15" s="326" t="s">
        <v>529</v>
      </c>
      <c r="BG15" s="326"/>
      <c r="BH15" s="326"/>
      <c r="BI15" s="359"/>
      <c r="BJ15" s="358" t="s">
        <v>186</v>
      </c>
      <c r="BK15" s="359"/>
      <c r="BL15" s="366" t="s">
        <v>186</v>
      </c>
    </row>
    <row r="16" spans="1:64" x14ac:dyDescent="0.35">
      <c r="F16" t="s">
        <v>36</v>
      </c>
      <c r="J16" t="s">
        <v>41</v>
      </c>
      <c r="N16" t="s">
        <v>57</v>
      </c>
      <c r="AK16" s="319" t="s">
        <v>82</v>
      </c>
      <c r="AL16" s="319"/>
      <c r="AM16" s="319"/>
      <c r="AN16" s="382" t="s">
        <v>619</v>
      </c>
      <c r="AO16" s="329"/>
      <c r="AP16" s="329"/>
      <c r="AQ16" s="329"/>
      <c r="AR16" s="329"/>
      <c r="AS16" s="361"/>
      <c r="AT16" s="319"/>
      <c r="AU16" s="319"/>
      <c r="AV16" s="319"/>
      <c r="AW16" s="319"/>
      <c r="AX16" s="382" t="s">
        <v>597</v>
      </c>
      <c r="AY16" s="329"/>
      <c r="AZ16" s="329"/>
      <c r="BA16" s="329"/>
      <c r="BB16" s="329"/>
      <c r="BC16" s="361"/>
      <c r="BD16" s="382" t="s">
        <v>599</v>
      </c>
      <c r="BE16" s="329"/>
      <c r="BF16" s="329"/>
      <c r="BG16" s="329"/>
      <c r="BH16" s="329"/>
      <c r="BI16" s="361"/>
      <c r="BJ16" s="360" t="s">
        <v>531</v>
      </c>
      <c r="BK16" s="361"/>
      <c r="BL16" s="367" t="s">
        <v>185</v>
      </c>
    </row>
    <row r="17" spans="1:64" x14ac:dyDescent="0.35">
      <c r="C17" t="s">
        <v>27</v>
      </c>
      <c r="F17" t="s">
        <v>34</v>
      </c>
      <c r="G17" t="s">
        <v>35</v>
      </c>
      <c r="J17" s="7" t="s">
        <v>34</v>
      </c>
      <c r="K17" t="s">
        <v>35</v>
      </c>
      <c r="N17" s="7" t="s">
        <v>34</v>
      </c>
      <c r="O17" t="s">
        <v>35</v>
      </c>
      <c r="R17" s="37" t="s">
        <v>597</v>
      </c>
      <c r="T17" s="37" t="s">
        <v>598</v>
      </c>
      <c r="U17" t="s">
        <v>599</v>
      </c>
      <c r="AK17" s="319" t="s">
        <v>83</v>
      </c>
      <c r="AL17" s="319" t="s">
        <v>84</v>
      </c>
      <c r="AM17" s="319" t="s">
        <v>85</v>
      </c>
      <c r="AN17" s="360" t="s">
        <v>61</v>
      </c>
      <c r="AO17" s="329" t="s">
        <v>15</v>
      </c>
      <c r="AP17" s="329" t="s">
        <v>143</v>
      </c>
      <c r="AQ17" s="329" t="s">
        <v>60</v>
      </c>
      <c r="AR17" s="329" t="s">
        <v>62</v>
      </c>
      <c r="AS17" s="361" t="s">
        <v>33</v>
      </c>
      <c r="AT17" s="319" t="s">
        <v>136</v>
      </c>
      <c r="AU17" s="319" t="s">
        <v>137</v>
      </c>
      <c r="AV17" s="319" t="s">
        <v>138</v>
      </c>
      <c r="AW17" s="319" t="s">
        <v>139</v>
      </c>
      <c r="AX17" s="360" t="s">
        <v>61</v>
      </c>
      <c r="AY17" s="329" t="s">
        <v>15</v>
      </c>
      <c r="AZ17" s="329" t="s">
        <v>143</v>
      </c>
      <c r="BA17" s="329" t="s">
        <v>60</v>
      </c>
      <c r="BB17" s="329" t="s">
        <v>62</v>
      </c>
      <c r="BC17" s="361" t="s">
        <v>33</v>
      </c>
      <c r="BD17" s="360" t="s">
        <v>61</v>
      </c>
      <c r="BE17" s="329" t="s">
        <v>15</v>
      </c>
      <c r="BF17" s="329" t="s">
        <v>143</v>
      </c>
      <c r="BG17" s="329" t="s">
        <v>60</v>
      </c>
      <c r="BH17" s="329" t="s">
        <v>62</v>
      </c>
      <c r="BI17" s="361" t="s">
        <v>33</v>
      </c>
      <c r="BJ17" s="382" t="s">
        <v>599</v>
      </c>
      <c r="BK17" s="383" t="s">
        <v>597</v>
      </c>
      <c r="BL17" s="384" t="s">
        <v>617</v>
      </c>
    </row>
    <row r="18" spans="1:64" x14ac:dyDescent="0.35">
      <c r="C18" s="18" t="s">
        <v>28</v>
      </c>
      <c r="F18" s="309">
        <v>2.0575709779179809</v>
      </c>
      <c r="G18" s="22" t="s">
        <v>169</v>
      </c>
      <c r="J18" s="2">
        <f t="shared" ref="J18:J24" si="0">F18</f>
        <v>2.0575709779179809</v>
      </c>
      <c r="K18" s="22" t="s">
        <v>169</v>
      </c>
      <c r="N18" s="343">
        <f t="shared" ref="N18:N22" si="1">J18</f>
        <v>2.0575709779179809</v>
      </c>
      <c r="O18" s="22" t="s">
        <v>169</v>
      </c>
      <c r="R18" s="2">
        <f>-N18</f>
        <v>-2.0575709779179809</v>
      </c>
      <c r="T18" s="38">
        <f>-R18/$R$18</f>
        <v>-1</v>
      </c>
      <c r="U18" s="2">
        <f>R18/'Energy &amp; Unit Conversions'!$E$15</f>
        <v>-0.10239728167204044</v>
      </c>
      <c r="AK18" s="319" t="s">
        <v>177</v>
      </c>
      <c r="AL18" s="319" t="str">
        <f>D13</f>
        <v>DMR-CO</v>
      </c>
      <c r="AM18" s="319" t="str">
        <f>D15</f>
        <v>Methanol</v>
      </c>
      <c r="AN18" s="362">
        <f>T18</f>
        <v>-1</v>
      </c>
      <c r="AO18" s="330">
        <f>T20</f>
        <v>0.18344959754695286</v>
      </c>
      <c r="AP18" s="329"/>
      <c r="AQ18" s="330">
        <f>T25</f>
        <v>2.9266931663717521</v>
      </c>
      <c r="AR18" s="330">
        <f>T26</f>
        <v>0.66464645856466953</v>
      </c>
      <c r="AS18" s="363">
        <f>T27</f>
        <v>2.7747892224833746</v>
      </c>
      <c r="AT18" s="319"/>
      <c r="AU18" s="319"/>
      <c r="AV18" s="319"/>
      <c r="AW18" s="319"/>
      <c r="AX18" s="362">
        <f>R18</f>
        <v>-2.0575709779179809</v>
      </c>
      <c r="AY18" s="330">
        <f>R20</f>
        <v>0.37746056782334386</v>
      </c>
      <c r="AZ18" s="329"/>
      <c r="BA18" s="330">
        <f>R25</f>
        <v>6.0218789203973984</v>
      </c>
      <c r="BB18" s="330">
        <f>R26</f>
        <v>1.36755726371863</v>
      </c>
      <c r="BC18" s="363">
        <f>R27</f>
        <v>5.7093257740213907</v>
      </c>
      <c r="BD18" s="362">
        <f>U18</f>
        <v>-0.10239728167204044</v>
      </c>
      <c r="BE18" s="330">
        <f>U20</f>
        <v>1.8784740112637796E-2</v>
      </c>
      <c r="BF18" s="329"/>
      <c r="BG18" s="330">
        <f>U25</f>
        <v>0.29968542452460428</v>
      </c>
      <c r="BH18" s="330">
        <f>U26</f>
        <v>6.805799062997063E-2</v>
      </c>
      <c r="BI18" s="363">
        <f>U27</f>
        <v>0.28413087359517225</v>
      </c>
      <c r="BJ18" s="362">
        <f>Incumbents!L47-U27</f>
        <v>-0.20129944373623102</v>
      </c>
      <c r="BK18" s="363">
        <f>Incumbents!I47-R27</f>
        <v>-4.0449110224358256</v>
      </c>
      <c r="BL18" s="367">
        <f>BK18*Constants!$C$11*0.5</f>
        <v>-0.1415718857852539</v>
      </c>
    </row>
    <row r="19" spans="1:64" x14ac:dyDescent="0.35">
      <c r="C19" s="20" t="s">
        <v>104</v>
      </c>
      <c r="F19" s="310">
        <v>3.9432176656151417E-2</v>
      </c>
      <c r="G19" t="s">
        <v>595</v>
      </c>
      <c r="J19" s="2">
        <f t="shared" si="0"/>
        <v>3.9432176656151417E-2</v>
      </c>
      <c r="K19" t="s">
        <v>595</v>
      </c>
      <c r="N19" s="343">
        <f t="shared" si="1"/>
        <v>3.9432176656151417E-2</v>
      </c>
      <c r="O19" t="s">
        <v>596</v>
      </c>
      <c r="U19" s="2"/>
      <c r="AK19" s="319" t="s">
        <v>177</v>
      </c>
      <c r="AL19" s="319" t="str">
        <f>D33</f>
        <v>DMR-H2</v>
      </c>
      <c r="AM19" s="319" t="str">
        <f>D35</f>
        <v>Methanol</v>
      </c>
      <c r="AN19" s="364">
        <f>T38</f>
        <v>-1</v>
      </c>
      <c r="AO19" s="327">
        <f>T40</f>
        <v>0.18446774069220687</v>
      </c>
      <c r="AP19" s="327"/>
      <c r="AQ19" s="327">
        <f>T45</f>
        <v>3.2630425090048187</v>
      </c>
      <c r="AR19" s="327">
        <f>T46</f>
        <v>1.469494199972073</v>
      </c>
      <c r="AS19" s="365">
        <f>T47</f>
        <v>3.9170044496690988</v>
      </c>
      <c r="AT19" s="319"/>
      <c r="AU19" s="319"/>
      <c r="AV19" s="319"/>
      <c r="AW19" s="319"/>
      <c r="AX19" s="364">
        <f>R38</f>
        <v>-0.93063127690100422</v>
      </c>
      <c r="AY19" s="327">
        <f>R40</f>
        <v>0.17167144906743181</v>
      </c>
      <c r="AZ19" s="327">
        <f>R41</f>
        <v>0.96753228120516455</v>
      </c>
      <c r="BA19" s="327">
        <f>R45</f>
        <v>3.0366894167374112</v>
      </c>
      <c r="BB19" s="327">
        <f>R46</f>
        <v>1.36755726371863</v>
      </c>
      <c r="BC19" s="365">
        <f>R47</f>
        <v>3.6452868526224691</v>
      </c>
      <c r="BD19" s="364">
        <f>U38</f>
        <v>-4.6313888568776954E-2</v>
      </c>
      <c r="BE19" s="327">
        <f>U40</f>
        <v>8.5434183869529112E-3</v>
      </c>
      <c r="BF19" s="327"/>
      <c r="BG19" s="327">
        <f>U45</f>
        <v>0.15112418715723155</v>
      </c>
      <c r="BH19" s="327">
        <f>U46</f>
        <v>6.805799062997063E-2</v>
      </c>
      <c r="BI19" s="365">
        <f>U47</f>
        <v>0.18141170760537814</v>
      </c>
      <c r="BJ19" s="364">
        <f>Incumbents!L47-U47</f>
        <v>-9.8580277746436906E-2</v>
      </c>
      <c r="BK19" s="365">
        <f>Incumbents!I47-R47</f>
        <v>-1.9808721010369039</v>
      </c>
      <c r="BL19" s="368">
        <f>BK19*Constants!$C$11*0.5</f>
        <v>-6.9330523536291641E-2</v>
      </c>
    </row>
    <row r="20" spans="1:64" x14ac:dyDescent="0.35">
      <c r="C20" s="19" t="s">
        <v>29</v>
      </c>
      <c r="D20" s="7"/>
      <c r="E20" s="7"/>
      <c r="F20" s="345">
        <f>K29</f>
        <v>0.18</v>
      </c>
      <c r="G20" s="32" t="s">
        <v>78</v>
      </c>
      <c r="H20" s="7"/>
      <c r="I20" s="7"/>
      <c r="J20" s="33">
        <f t="shared" si="0"/>
        <v>0.18</v>
      </c>
      <c r="K20" s="32" t="s">
        <v>78</v>
      </c>
      <c r="L20" s="7"/>
      <c r="M20" s="7"/>
      <c r="N20" s="85">
        <f t="shared" si="1"/>
        <v>0.18</v>
      </c>
      <c r="O20" s="32" t="s">
        <v>78</v>
      </c>
      <c r="P20" s="7"/>
      <c r="Q20" s="7"/>
      <c r="R20" s="33">
        <f>N20*(N18+N19)</f>
        <v>0.37746056782334386</v>
      </c>
      <c r="S20" s="7"/>
      <c r="T20" s="94">
        <f>-R20/$R$18</f>
        <v>0.18344959754695286</v>
      </c>
      <c r="U20" s="2">
        <f>R20/'Energy &amp; Unit Conversions'!$E$15</f>
        <v>1.8784740112637796E-2</v>
      </c>
    </row>
    <row r="21" spans="1:64" x14ac:dyDescent="0.35">
      <c r="A21" s="48"/>
      <c r="C21" s="20" t="s">
        <v>166</v>
      </c>
      <c r="F21" s="311">
        <v>0.73107255520504733</v>
      </c>
      <c r="G21" t="s">
        <v>592</v>
      </c>
      <c r="J21" s="2">
        <f t="shared" si="0"/>
        <v>0.73107255520504733</v>
      </c>
      <c r="K21" t="s">
        <v>592</v>
      </c>
      <c r="N21" s="65">
        <f>'Main Input &amp; Output'!D127</f>
        <v>0.73107255520504699</v>
      </c>
      <c r="O21" t="s">
        <v>592</v>
      </c>
      <c r="R21" s="2">
        <f>N21*'Emission Factors'!S20</f>
        <v>2.2990225869431398</v>
      </c>
      <c r="T21" s="2"/>
      <c r="U21" s="2"/>
    </row>
    <row r="22" spans="1:64" x14ac:dyDescent="0.35">
      <c r="A22" s="48"/>
      <c r="C22" s="20" t="s">
        <v>167</v>
      </c>
      <c r="F22" s="311">
        <v>1.386435331230284</v>
      </c>
      <c r="G22" t="s">
        <v>593</v>
      </c>
      <c r="J22" s="2">
        <f t="shared" si="0"/>
        <v>1.386435331230284</v>
      </c>
      <c r="K22" t="s">
        <v>593</v>
      </c>
      <c r="N22" s="2">
        <f t="shared" si="1"/>
        <v>1.386435331230284</v>
      </c>
      <c r="O22" t="s">
        <v>593</v>
      </c>
      <c r="R22" s="2">
        <f>N22*'Emission Factors'!S11</f>
        <v>2.4262618296529967</v>
      </c>
      <c r="T22" s="2"/>
      <c r="U22" s="2"/>
    </row>
    <row r="23" spans="1:64" x14ac:dyDescent="0.35">
      <c r="A23" s="48"/>
      <c r="C23" s="20" t="s">
        <v>168</v>
      </c>
      <c r="F23" s="311">
        <v>4.6289031072555211</v>
      </c>
      <c r="G23" t="s">
        <v>266</v>
      </c>
      <c r="J23" s="73">
        <f t="shared" si="0"/>
        <v>4.6289031072555211</v>
      </c>
      <c r="K23" t="s">
        <v>266</v>
      </c>
      <c r="N23" s="65">
        <f>'Main Input &amp; Output'!D126</f>
        <v>4.6289031072555202</v>
      </c>
      <c r="O23" t="s">
        <v>266</v>
      </c>
      <c r="R23" s="2">
        <f>N23*K30</f>
        <v>1.1572257768138801</v>
      </c>
      <c r="T23" s="2"/>
      <c r="U23" s="2"/>
    </row>
    <row r="24" spans="1:64" x14ac:dyDescent="0.35">
      <c r="A24" s="31"/>
      <c r="C24" s="20" t="s">
        <v>4</v>
      </c>
      <c r="F24" s="311">
        <v>0.20395214353312305</v>
      </c>
      <c r="G24" s="23" t="s">
        <v>266</v>
      </c>
      <c r="J24" s="2">
        <f t="shared" si="0"/>
        <v>0.20395214353312305</v>
      </c>
      <c r="K24" s="23" t="s">
        <v>266</v>
      </c>
      <c r="L24" s="12"/>
      <c r="M24" s="12"/>
      <c r="N24" s="46">
        <f>'Main Input &amp; Output'!D125</f>
        <v>0.20395214353312299</v>
      </c>
      <c r="O24" s="23" t="s">
        <v>266</v>
      </c>
      <c r="R24" s="2">
        <f>N24*K28</f>
        <v>9.9936550331230264E-2</v>
      </c>
    </row>
    <row r="25" spans="1:64" x14ac:dyDescent="0.35">
      <c r="A25" s="31"/>
      <c r="C25" s="19" t="s">
        <v>68</v>
      </c>
      <c r="F25" s="17"/>
      <c r="G25" s="23"/>
      <c r="J25" s="2"/>
      <c r="K25" s="20"/>
      <c r="L25" s="12"/>
      <c r="M25" s="12"/>
      <c r="N25" s="66"/>
      <c r="O25" s="20"/>
      <c r="R25" s="2">
        <f>SUM(R21:R24)+N19</f>
        <v>6.0218789203973984</v>
      </c>
      <c r="T25" s="97">
        <f>-R25/$R$18</f>
        <v>2.9266931663717521</v>
      </c>
      <c r="U25" s="2">
        <f>R25/'Energy &amp; Unit Conversions'!$E$15</f>
        <v>0.29968542452460428</v>
      </c>
    </row>
    <row r="26" spans="1:64" x14ac:dyDescent="0.35">
      <c r="C26" s="34" t="s">
        <v>62</v>
      </c>
      <c r="D26" s="35"/>
      <c r="E26" s="35"/>
      <c r="F26" s="36">
        <f>'Emission Factors'!S8</f>
        <v>1.36755726371863</v>
      </c>
      <c r="G26" s="35" t="s">
        <v>594</v>
      </c>
      <c r="H26" s="35"/>
      <c r="I26" s="35"/>
      <c r="J26" s="36">
        <f>F26</f>
        <v>1.36755726371863</v>
      </c>
      <c r="K26" s="35" t="s">
        <v>594</v>
      </c>
      <c r="L26" s="35"/>
      <c r="M26" s="35"/>
      <c r="N26" s="36">
        <f>J26</f>
        <v>1.36755726371863</v>
      </c>
      <c r="O26" s="35" t="s">
        <v>594</v>
      </c>
      <c r="P26" s="35"/>
      <c r="Q26" s="35"/>
      <c r="R26" s="36">
        <f>N26</f>
        <v>1.36755726371863</v>
      </c>
      <c r="S26" s="35"/>
      <c r="T26" s="104">
        <f>-R26/R18</f>
        <v>0.66464645856466953</v>
      </c>
      <c r="U26" s="2">
        <f>R26/'Energy &amp; Unit Conversions'!$E$15</f>
        <v>6.805799062997063E-2</v>
      </c>
    </row>
    <row r="27" spans="1:64" x14ac:dyDescent="0.35">
      <c r="C27" s="28" t="s">
        <v>33</v>
      </c>
      <c r="D27" s="12"/>
      <c r="E27" s="12"/>
      <c r="F27" s="12"/>
      <c r="G27" s="12"/>
      <c r="H27" s="12"/>
      <c r="I27" s="12"/>
      <c r="J27" s="12"/>
      <c r="K27" s="12"/>
      <c r="L27" s="12"/>
      <c r="M27" s="12"/>
      <c r="N27" s="12"/>
      <c r="O27" s="12"/>
      <c r="P27" s="12"/>
      <c r="Q27" s="12"/>
      <c r="R27" s="55">
        <f>R18+R20+R25+R26</f>
        <v>5.7093257740213907</v>
      </c>
      <c r="S27" s="12"/>
      <c r="T27" s="107">
        <f>SUM(T18:T26)</f>
        <v>2.7747892224833746</v>
      </c>
      <c r="U27" s="2">
        <f>SUM(U18:U26)</f>
        <v>0.28413087359517225</v>
      </c>
    </row>
    <row r="28" spans="1:64" x14ac:dyDescent="0.35">
      <c r="C28" s="28" t="s">
        <v>81</v>
      </c>
      <c r="D28" s="12"/>
      <c r="E28" s="12"/>
      <c r="F28" s="12"/>
      <c r="G28" s="12"/>
      <c r="H28" s="12"/>
      <c r="I28" s="12">
        <f>K11</f>
        <v>2</v>
      </c>
      <c r="J28" s="47" t="str">
        <f>VLOOKUP(I28,'Emission Factors'!B6:C8,2,FALSE)</f>
        <v>Natural gas</v>
      </c>
      <c r="K28">
        <f>VLOOKUP(I28,'Emission Factors'!F6:G8,2,FALSE)</f>
        <v>0.49</v>
      </c>
      <c r="L28" s="12"/>
      <c r="S28" s="12"/>
    </row>
    <row r="29" spans="1:64" x14ac:dyDescent="0.35">
      <c r="C29" s="28" t="s">
        <v>29</v>
      </c>
      <c r="I29">
        <f>X11</f>
        <v>2</v>
      </c>
      <c r="J29" s="43" t="str">
        <f>VLOOKUP(I29,'Emission Factors'!B34:C36,2,FALSE)</f>
        <v>Natural gas power plant</v>
      </c>
      <c r="K29">
        <f>VLOOKUP(I29,'Emission Factors'!F34:G36,2,FALSE)</f>
        <v>0.18</v>
      </c>
    </row>
    <row r="30" spans="1:64" x14ac:dyDescent="0.35">
      <c r="C30" s="28" t="s">
        <v>9</v>
      </c>
      <c r="I30">
        <f>O11</f>
        <v>2</v>
      </c>
      <c r="J30" s="43" t="str">
        <f>VLOOKUP(I30,'Emission Factors'!B20:C22,2,FALSE)</f>
        <v>Natural gas industrial furnace</v>
      </c>
      <c r="K30">
        <f>VLOOKUP(I30,'Emission Factors'!F20:G22,2,FALSE)</f>
        <v>0.25</v>
      </c>
      <c r="M30" t="s">
        <v>446</v>
      </c>
    </row>
    <row r="33" spans="2:21" x14ac:dyDescent="0.35">
      <c r="B33" s="16" t="s">
        <v>46</v>
      </c>
      <c r="C33" s="15"/>
      <c r="D33" s="16" t="s">
        <v>176</v>
      </c>
      <c r="E33" s="15"/>
      <c r="F33" s="15"/>
      <c r="G33" s="15"/>
      <c r="H33" s="15"/>
      <c r="I33" s="15"/>
      <c r="J33" s="15"/>
      <c r="K33" s="15"/>
      <c r="L33" s="15"/>
      <c r="M33" s="15"/>
      <c r="N33" s="15"/>
      <c r="O33" s="15"/>
      <c r="P33" s="15"/>
      <c r="Q33" s="15"/>
      <c r="R33" s="15"/>
      <c r="S33" s="15"/>
      <c r="T33" s="15"/>
    </row>
    <row r="35" spans="2:21" x14ac:dyDescent="0.35">
      <c r="C35" s="40" t="s">
        <v>44</v>
      </c>
      <c r="D35" s="40" t="s">
        <v>53</v>
      </c>
      <c r="E35" s="39"/>
      <c r="F35" s="39" t="s">
        <v>379</v>
      </c>
      <c r="G35" s="39" t="s">
        <v>388</v>
      </c>
      <c r="H35" s="39"/>
      <c r="I35" s="39"/>
      <c r="J35" s="39"/>
      <c r="K35" s="39"/>
      <c r="L35" s="39"/>
      <c r="M35" s="39"/>
      <c r="N35" s="39"/>
      <c r="O35" s="39"/>
      <c r="P35" s="39"/>
      <c r="Q35" s="39"/>
      <c r="R35" s="39"/>
      <c r="S35" s="39"/>
      <c r="T35" s="39"/>
    </row>
    <row r="36" spans="2:21" x14ac:dyDescent="0.35">
      <c r="F36" t="s">
        <v>36</v>
      </c>
      <c r="J36" t="s">
        <v>41</v>
      </c>
      <c r="N36" t="s">
        <v>57</v>
      </c>
    </row>
    <row r="37" spans="2:21" x14ac:dyDescent="0.35">
      <c r="C37" t="s">
        <v>27</v>
      </c>
      <c r="F37" t="s">
        <v>34</v>
      </c>
      <c r="G37" t="s">
        <v>35</v>
      </c>
      <c r="J37" s="7" t="s">
        <v>34</v>
      </c>
      <c r="K37" t="s">
        <v>35</v>
      </c>
      <c r="N37" s="7" t="s">
        <v>34</v>
      </c>
      <c r="O37" t="s">
        <v>35</v>
      </c>
      <c r="R37" s="37" t="s">
        <v>597</v>
      </c>
      <c r="T37" s="37" t="s">
        <v>598</v>
      </c>
      <c r="U37" t="s">
        <v>599</v>
      </c>
    </row>
    <row r="38" spans="2:21" x14ac:dyDescent="0.35">
      <c r="C38" s="18" t="s">
        <v>28</v>
      </c>
      <c r="F38" s="309">
        <v>0.93063127690100422</v>
      </c>
      <c r="G38" s="22" t="s">
        <v>169</v>
      </c>
      <c r="J38" s="2">
        <f t="shared" ref="J38:J44" si="2">F38</f>
        <v>0.93063127690100422</v>
      </c>
      <c r="K38" s="22" t="s">
        <v>169</v>
      </c>
      <c r="N38" s="343">
        <f t="shared" ref="N38:N40" si="3">J38</f>
        <v>0.93063127690100422</v>
      </c>
      <c r="O38" s="22" t="s">
        <v>169</v>
      </c>
      <c r="R38" s="2">
        <f>-N38</f>
        <v>-0.93063127690100422</v>
      </c>
      <c r="T38" s="38">
        <f>-R38/$R$38</f>
        <v>-1</v>
      </c>
      <c r="U38" s="2">
        <f>R38/'Energy &amp; Unit Conversions'!$E$15</f>
        <v>-4.6313888568776954E-2</v>
      </c>
    </row>
    <row r="39" spans="2:21" x14ac:dyDescent="0.35">
      <c r="C39" s="20" t="s">
        <v>104</v>
      </c>
      <c r="F39" s="310">
        <v>2.309899569583931E-2</v>
      </c>
      <c r="G39" t="s">
        <v>596</v>
      </c>
      <c r="J39" s="2">
        <f t="shared" si="2"/>
        <v>2.309899569583931E-2</v>
      </c>
      <c r="K39" t="s">
        <v>595</v>
      </c>
      <c r="N39" s="343">
        <f t="shared" si="3"/>
        <v>2.309899569583931E-2</v>
      </c>
      <c r="O39" t="s">
        <v>595</v>
      </c>
      <c r="U39" s="2"/>
    </row>
    <row r="40" spans="2:21" x14ac:dyDescent="0.35">
      <c r="C40" s="19" t="s">
        <v>29</v>
      </c>
      <c r="D40" s="7"/>
      <c r="E40" s="7"/>
      <c r="F40" s="345">
        <f>K49</f>
        <v>0.18</v>
      </c>
      <c r="G40" s="32" t="s">
        <v>78</v>
      </c>
      <c r="H40" s="7"/>
      <c r="I40" s="7"/>
      <c r="J40" s="33">
        <f t="shared" si="2"/>
        <v>0.18</v>
      </c>
      <c r="K40" s="32" t="s">
        <v>78</v>
      </c>
      <c r="L40" s="7"/>
      <c r="M40" s="7"/>
      <c r="N40" s="85">
        <f t="shared" si="3"/>
        <v>0.18</v>
      </c>
      <c r="O40" s="32" t="s">
        <v>78</v>
      </c>
      <c r="P40" s="7"/>
      <c r="Q40" s="7"/>
      <c r="R40" s="33">
        <f>N40*(N38+N39)</f>
        <v>0.17167144906743181</v>
      </c>
      <c r="S40" s="7"/>
      <c r="T40" s="94">
        <f>-R40/$R$38</f>
        <v>0.18446774069220687</v>
      </c>
      <c r="U40" s="2">
        <f>R40/'Energy &amp; Unit Conversions'!$E$15</f>
        <v>8.5434183869529112E-3</v>
      </c>
    </row>
    <row r="41" spans="2:21" x14ac:dyDescent="0.35">
      <c r="C41" s="56" t="s">
        <v>174</v>
      </c>
      <c r="D41" s="4"/>
      <c r="E41" s="4"/>
      <c r="F41" s="312">
        <v>9.1104734576757523E-2</v>
      </c>
      <c r="G41" s="4" t="s">
        <v>600</v>
      </c>
      <c r="H41" s="4"/>
      <c r="I41" s="4"/>
      <c r="J41" s="51">
        <f t="shared" si="2"/>
        <v>9.1104734576757523E-2</v>
      </c>
      <c r="K41" s="4" t="s">
        <v>600</v>
      </c>
      <c r="L41" s="4"/>
      <c r="M41" s="4"/>
      <c r="N41" s="240">
        <f>'Main Input &amp; Output'!D134</f>
        <v>9.1104734576757496E-2</v>
      </c>
      <c r="O41" s="4" t="s">
        <v>600</v>
      </c>
      <c r="P41" s="4"/>
      <c r="Q41" s="4"/>
      <c r="R41" s="51">
        <f>N41*K51</f>
        <v>0.96753228120516455</v>
      </c>
      <c r="S41" s="4"/>
      <c r="T41" s="255">
        <v>0</v>
      </c>
      <c r="U41" s="2">
        <v>0</v>
      </c>
    </row>
    <row r="42" spans="2:21" x14ac:dyDescent="0.35">
      <c r="C42" s="20" t="s">
        <v>166</v>
      </c>
      <c r="D42" s="12"/>
      <c r="E42" s="12"/>
      <c r="F42" s="311">
        <v>0.33249641319942613</v>
      </c>
      <c r="G42" s="12" t="s">
        <v>592</v>
      </c>
      <c r="H42" s="12"/>
      <c r="I42" s="12"/>
      <c r="J42" s="55">
        <f t="shared" si="2"/>
        <v>0.33249641319942613</v>
      </c>
      <c r="K42" s="12" t="s">
        <v>592</v>
      </c>
      <c r="L42" s="12"/>
      <c r="M42" s="12"/>
      <c r="N42" s="46">
        <f>'Main Input &amp; Output'!D135</f>
        <v>0.33249641319942602</v>
      </c>
      <c r="O42" s="12" t="s">
        <v>592</v>
      </c>
      <c r="P42" s="12"/>
      <c r="Q42" s="12"/>
      <c r="R42" s="55">
        <f>N42*'Emission Factors'!S20</f>
        <v>1.0456099857402805</v>
      </c>
      <c r="S42" s="12"/>
      <c r="T42" s="55"/>
      <c r="U42" s="55"/>
    </row>
    <row r="43" spans="2:21" x14ac:dyDescent="0.35">
      <c r="C43" s="20" t="s">
        <v>168</v>
      </c>
      <c r="F43" s="311">
        <v>3.4313752941176472</v>
      </c>
      <c r="G43" t="s">
        <v>266</v>
      </c>
      <c r="J43" s="73">
        <f t="shared" si="2"/>
        <v>3.4313752941176472</v>
      </c>
      <c r="K43" t="s">
        <v>266</v>
      </c>
      <c r="N43" s="65">
        <f>'Main Input &amp; Output'!D133</f>
        <v>3.4313752941176499</v>
      </c>
      <c r="O43" t="s">
        <v>266</v>
      </c>
      <c r="R43" s="2">
        <f>N43*K50</f>
        <v>0.85784382352941246</v>
      </c>
      <c r="T43" s="2"/>
      <c r="U43" s="2"/>
    </row>
    <row r="44" spans="2:21" x14ac:dyDescent="0.35">
      <c r="C44" s="20" t="s">
        <v>4</v>
      </c>
      <c r="F44" s="311">
        <v>0.29102924605451941</v>
      </c>
      <c r="G44" s="23" t="s">
        <v>266</v>
      </c>
      <c r="J44" s="2">
        <f t="shared" si="2"/>
        <v>0.29102924605451941</v>
      </c>
      <c r="K44" s="23" t="s">
        <v>266</v>
      </c>
      <c r="L44" s="12"/>
      <c r="M44" s="12"/>
      <c r="N44" s="46">
        <f>'Main Input &amp; Output'!D132</f>
        <v>0.29102924605451902</v>
      </c>
      <c r="O44" s="23" t="s">
        <v>266</v>
      </c>
      <c r="R44" s="2">
        <f>N44*K48</f>
        <v>0.14260433056671432</v>
      </c>
    </row>
    <row r="45" spans="2:21" x14ac:dyDescent="0.35">
      <c r="C45" s="19" t="s">
        <v>68</v>
      </c>
      <c r="F45" s="313"/>
      <c r="G45" s="23"/>
      <c r="J45" s="2"/>
      <c r="K45" s="20"/>
      <c r="L45" s="12"/>
      <c r="M45" s="12"/>
      <c r="N45" s="66"/>
      <c r="O45" s="20"/>
      <c r="R45" s="2">
        <f>SUM(R41:R44)+N39</f>
        <v>3.0366894167374112</v>
      </c>
      <c r="T45" s="97">
        <f>-R45/$R$38</f>
        <v>3.2630425090048187</v>
      </c>
      <c r="U45" s="2">
        <f>R45/'Energy &amp; Unit Conversions'!$E$15</f>
        <v>0.15112418715723155</v>
      </c>
    </row>
    <row r="46" spans="2:21" x14ac:dyDescent="0.35">
      <c r="C46" s="34" t="s">
        <v>62</v>
      </c>
      <c r="D46" s="35"/>
      <c r="E46" s="35"/>
      <c r="F46" s="315">
        <f>'Emission Factors'!S8</f>
        <v>1.36755726371863</v>
      </c>
      <c r="G46" s="35" t="s">
        <v>594</v>
      </c>
      <c r="H46" s="35"/>
      <c r="I46" s="35"/>
      <c r="J46" s="36">
        <f>F46</f>
        <v>1.36755726371863</v>
      </c>
      <c r="K46" s="35" t="s">
        <v>594</v>
      </c>
      <c r="L46" s="35"/>
      <c r="M46" s="35"/>
      <c r="N46" s="36">
        <f>J46</f>
        <v>1.36755726371863</v>
      </c>
      <c r="O46" s="35" t="s">
        <v>594</v>
      </c>
      <c r="P46" s="35"/>
      <c r="Q46" s="35"/>
      <c r="R46" s="36">
        <f>N46</f>
        <v>1.36755726371863</v>
      </c>
      <c r="S46" s="35"/>
      <c r="T46" s="104">
        <f>-R46/R38</f>
        <v>1.469494199972073</v>
      </c>
      <c r="U46" s="2">
        <f>R46/'Energy &amp; Unit Conversions'!$E$15</f>
        <v>6.805799062997063E-2</v>
      </c>
    </row>
    <row r="47" spans="2:21" x14ac:dyDescent="0.35">
      <c r="C47" s="28" t="s">
        <v>33</v>
      </c>
      <c r="D47" s="12"/>
      <c r="E47" s="12"/>
      <c r="F47" s="12"/>
      <c r="G47" s="12"/>
      <c r="H47" s="12"/>
      <c r="I47" s="12"/>
      <c r="J47" s="12"/>
      <c r="K47" s="12"/>
      <c r="L47" s="12"/>
      <c r="M47" s="12"/>
      <c r="N47" s="12"/>
      <c r="O47" s="12"/>
      <c r="P47" s="12"/>
      <c r="Q47" s="12"/>
      <c r="R47" s="55">
        <f>R38+R40+R45+R46</f>
        <v>3.6452868526224691</v>
      </c>
      <c r="S47" s="12"/>
      <c r="T47" s="107">
        <f>SUM(T38:T46)</f>
        <v>3.9170044496690988</v>
      </c>
      <c r="U47" s="2">
        <f>SUM(U38:U46)</f>
        <v>0.18141170760537814</v>
      </c>
    </row>
    <row r="48" spans="2:21" x14ac:dyDescent="0.35">
      <c r="C48" s="28" t="s">
        <v>81</v>
      </c>
      <c r="D48" s="12"/>
      <c r="E48" s="12"/>
      <c r="F48" s="12"/>
      <c r="G48" s="12"/>
      <c r="H48" s="12"/>
      <c r="I48" s="12">
        <f>K11</f>
        <v>2</v>
      </c>
      <c r="J48" s="47" t="str">
        <f>VLOOKUP(I48,'Emission Factors'!B6:C8,2,FALSE)</f>
        <v>Natural gas</v>
      </c>
      <c r="K48">
        <f>VLOOKUP(I48,'Emission Factors'!F6:G8,2,FALSE)</f>
        <v>0.49</v>
      </c>
      <c r="L48" s="12"/>
      <c r="S48" s="12"/>
    </row>
    <row r="49" spans="3:13" x14ac:dyDescent="0.35">
      <c r="C49" s="28" t="s">
        <v>29</v>
      </c>
      <c r="I49">
        <f>X11</f>
        <v>2</v>
      </c>
      <c r="J49" s="43" t="str">
        <f>VLOOKUP(I49,'Emission Factors'!B34:C36,2,FALSE)</f>
        <v>Natural gas power plant</v>
      </c>
      <c r="K49">
        <f>VLOOKUP(I49,'Emission Factors'!F34:G36,2,FALSE)</f>
        <v>0.18</v>
      </c>
    </row>
    <row r="50" spans="3:13" x14ac:dyDescent="0.35">
      <c r="C50" s="28" t="s">
        <v>9</v>
      </c>
      <c r="I50">
        <f>O11</f>
        <v>2</v>
      </c>
      <c r="J50" s="43" t="str">
        <f>VLOOKUP(I50,'Emission Factors'!B20:C22,2,FALSE)</f>
        <v>Natural gas industrial furnace</v>
      </c>
      <c r="K50">
        <f>VLOOKUP(I50,'Emission Factors'!F20:G22,2,FALSE)</f>
        <v>0.25</v>
      </c>
      <c r="M50" t="s">
        <v>446</v>
      </c>
    </row>
    <row r="51" spans="3:13" x14ac:dyDescent="0.35">
      <c r="C51" s="28" t="s">
        <v>12</v>
      </c>
      <c r="I51">
        <f>S11</f>
        <v>2</v>
      </c>
      <c r="J51" s="43" t="str">
        <f>VLOOKUP(I51,'Emission Factors'!B27:C29,2,FALSE)</f>
        <v>Steam methane reforming</v>
      </c>
      <c r="K51">
        <f>VLOOKUP(I51,'Emission Factors'!F27:G29,2,FALSE)</f>
        <v>10.62</v>
      </c>
      <c r="M51" t="s">
        <v>447</v>
      </c>
    </row>
  </sheetData>
  <sheetProtection sheet="1" objects="1" scenarios="1"/>
  <mergeCells count="2">
    <mergeCell ref="A2:G3"/>
    <mergeCell ref="I2:I7"/>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325837-7075-4BD7-ACB0-A1026FDEFC38}">
  <sheetPr codeName="Sheet5">
    <tabColor theme="4"/>
  </sheetPr>
  <dimension ref="A2:BT243"/>
  <sheetViews>
    <sheetView zoomScale="90" zoomScaleNormal="90" workbookViewId="0">
      <selection activeCell="A2" sqref="A2:G3"/>
    </sheetView>
  </sheetViews>
  <sheetFormatPr defaultColWidth="8.81640625" defaultRowHeight="14.5" x14ac:dyDescent="0.35"/>
  <cols>
    <col min="1" max="1" width="8.453125" customWidth="1"/>
    <col min="20" max="20" width="10.453125" customWidth="1"/>
    <col min="21" max="36" width="9.1796875" customWidth="1"/>
    <col min="37" max="37" width="14" customWidth="1"/>
    <col min="38" max="38" width="15" customWidth="1"/>
    <col min="39" max="39" width="14.36328125" customWidth="1"/>
    <col min="40" max="40" width="15.36328125" customWidth="1"/>
    <col min="41" max="41" width="21.36328125" customWidth="1"/>
    <col min="42" max="42" width="15.453125" customWidth="1"/>
    <col min="43" max="43" width="17.1796875" customWidth="1"/>
    <col min="44" max="44" width="10.36328125" customWidth="1"/>
    <col min="45" max="58" width="8.6328125" customWidth="1"/>
    <col min="59" max="69" width="8.6328125" hidden="1" customWidth="1"/>
    <col min="70" max="70" width="9.54296875" customWidth="1"/>
    <col min="71" max="71" width="15.36328125" customWidth="1"/>
    <col min="72" max="72" width="12.6328125" bestFit="1" customWidth="1"/>
  </cols>
  <sheetData>
    <row r="2" spans="1:72" ht="14.5" customHeight="1" x14ac:dyDescent="0.45">
      <c r="A2" s="488" t="s">
        <v>560</v>
      </c>
      <c r="B2" s="488"/>
      <c r="C2" s="488"/>
      <c r="D2" s="488"/>
      <c r="E2" s="488"/>
      <c r="F2" s="488"/>
      <c r="G2" s="488"/>
      <c r="I2" s="489" t="s">
        <v>517</v>
      </c>
      <c r="J2" s="302" t="s">
        <v>519</v>
      </c>
      <c r="K2" s="302"/>
      <c r="L2" s="302"/>
      <c r="M2" s="4" t="s">
        <v>522</v>
      </c>
      <c r="N2" s="4"/>
      <c r="O2" s="4"/>
      <c r="P2" s="4"/>
      <c r="Q2" s="4"/>
      <c r="R2" s="4"/>
      <c r="S2" s="4"/>
      <c r="T2" s="4"/>
      <c r="U2" s="4"/>
      <c r="V2" s="4"/>
      <c r="W2" s="5"/>
      <c r="Y2" s="43"/>
      <c r="Z2" t="s">
        <v>528</v>
      </c>
    </row>
    <row r="3" spans="1:72" ht="14.5" customHeight="1" x14ac:dyDescent="0.45">
      <c r="A3" s="488"/>
      <c r="B3" s="488"/>
      <c r="C3" s="488"/>
      <c r="D3" s="488"/>
      <c r="E3" s="488"/>
      <c r="F3" s="488"/>
      <c r="G3" s="488"/>
      <c r="I3" s="490"/>
      <c r="J3" s="296" t="s">
        <v>520</v>
      </c>
      <c r="K3" s="296"/>
      <c r="L3" s="296"/>
      <c r="M3" s="12" t="s">
        <v>523</v>
      </c>
      <c r="N3" s="12"/>
      <c r="O3" s="12"/>
      <c r="P3" s="12"/>
      <c r="Q3" s="12"/>
      <c r="R3" s="12"/>
      <c r="S3" s="12"/>
      <c r="T3" s="12"/>
      <c r="U3" s="12"/>
      <c r="V3" s="12"/>
      <c r="W3" s="25"/>
    </row>
    <row r="4" spans="1:72" ht="15.5" x14ac:dyDescent="0.35">
      <c r="B4" s="1"/>
      <c r="C4" s="1"/>
      <c r="D4" s="1"/>
      <c r="E4" s="1"/>
      <c r="F4" s="1"/>
      <c r="G4" s="212"/>
      <c r="I4" s="490"/>
      <c r="J4" s="303" t="s">
        <v>143</v>
      </c>
      <c r="K4" s="304"/>
      <c r="L4" s="304"/>
      <c r="M4" s="12" t="s">
        <v>518</v>
      </c>
      <c r="N4" s="12"/>
      <c r="O4" s="12"/>
      <c r="P4" s="12"/>
      <c r="Q4" s="12"/>
      <c r="R4" s="12"/>
      <c r="S4" s="12"/>
      <c r="T4" s="12"/>
      <c r="U4" s="12"/>
      <c r="V4" s="12"/>
      <c r="W4" s="25"/>
    </row>
    <row r="5" spans="1:72" ht="16.5" x14ac:dyDescent="0.45">
      <c r="C5" s="27"/>
      <c r="D5" s="1"/>
      <c r="E5" s="1"/>
      <c r="F5" s="1"/>
      <c r="G5" s="212"/>
      <c r="I5" s="490"/>
      <c r="J5" s="305" t="s">
        <v>521</v>
      </c>
      <c r="K5" s="305"/>
      <c r="L5" s="305"/>
      <c r="M5" s="12" t="s">
        <v>524</v>
      </c>
      <c r="N5" s="12"/>
      <c r="O5" s="12"/>
      <c r="P5" s="12"/>
      <c r="Q5" s="12"/>
      <c r="R5" s="12"/>
      <c r="S5" s="12"/>
      <c r="T5" s="12"/>
      <c r="U5" s="12"/>
      <c r="V5" s="12"/>
      <c r="W5" s="25"/>
    </row>
    <row r="6" spans="1:72" x14ac:dyDescent="0.35">
      <c r="C6" t="s">
        <v>47</v>
      </c>
      <c r="F6" t="s">
        <v>48</v>
      </c>
      <c r="G6" s="213"/>
      <c r="I6" s="490"/>
      <c r="J6" s="306" t="s">
        <v>62</v>
      </c>
      <c r="K6" s="307"/>
      <c r="L6" s="307"/>
      <c r="M6" s="12" t="s">
        <v>525</v>
      </c>
      <c r="N6" s="12"/>
      <c r="O6" s="12"/>
      <c r="P6" s="12"/>
      <c r="Q6" s="12"/>
      <c r="R6" s="12"/>
      <c r="S6" s="12"/>
      <c r="T6" s="12"/>
      <c r="U6" s="12"/>
      <c r="V6" s="12"/>
      <c r="W6" s="25"/>
    </row>
    <row r="7" spans="1:72" x14ac:dyDescent="0.35">
      <c r="B7">
        <v>1</v>
      </c>
      <c r="C7" t="s">
        <v>49</v>
      </c>
      <c r="F7" t="s">
        <v>140</v>
      </c>
      <c r="G7" s="214"/>
      <c r="I7" s="491"/>
      <c r="J7" s="308" t="s">
        <v>33</v>
      </c>
      <c r="K7" s="308"/>
      <c r="L7" s="308"/>
      <c r="M7" s="7" t="s">
        <v>526</v>
      </c>
      <c r="N7" s="7"/>
      <c r="O7" s="7"/>
      <c r="P7" s="7"/>
      <c r="Q7" s="7"/>
      <c r="R7" s="7"/>
      <c r="S7" s="7"/>
      <c r="T7" s="7"/>
      <c r="U7" s="7"/>
      <c r="V7" s="7"/>
      <c r="W7" s="26"/>
    </row>
    <row r="8" spans="1:72" x14ac:dyDescent="0.35">
      <c r="B8">
        <v>2</v>
      </c>
      <c r="C8" t="s">
        <v>52</v>
      </c>
      <c r="F8" t="s">
        <v>51</v>
      </c>
      <c r="G8" s="213"/>
    </row>
    <row r="9" spans="1:72" x14ac:dyDescent="0.35">
      <c r="F9" t="s">
        <v>53</v>
      </c>
      <c r="G9" s="211"/>
    </row>
    <row r="10" spans="1:72" x14ac:dyDescent="0.35">
      <c r="F10" t="s">
        <v>55</v>
      </c>
      <c r="G10" s="211"/>
      <c r="K10" t="s">
        <v>64</v>
      </c>
      <c r="O10" t="s">
        <v>65</v>
      </c>
      <c r="S10" t="s">
        <v>66</v>
      </c>
      <c r="V10" t="s">
        <v>67</v>
      </c>
      <c r="Y10" t="s">
        <v>15</v>
      </c>
    </row>
    <row r="11" spans="1:72" x14ac:dyDescent="0.35">
      <c r="B11" s="35" t="s">
        <v>63</v>
      </c>
      <c r="C11" s="63"/>
      <c r="D11" s="63"/>
      <c r="E11" s="63"/>
      <c r="F11" s="63"/>
      <c r="G11" s="35"/>
      <c r="H11" s="35"/>
      <c r="I11" s="63"/>
      <c r="J11" s="35"/>
      <c r="K11" s="44">
        <f>'Emission Factors'!G9</f>
        <v>2</v>
      </c>
      <c r="L11" s="44" t="str">
        <f>'Emission Factors'!C10</f>
        <v>Natural gas</v>
      </c>
      <c r="M11" s="44">
        <f>'Emission Factors'!G10</f>
        <v>0.49</v>
      </c>
      <c r="N11" s="35"/>
      <c r="O11" s="44">
        <f>'Emission Factors'!G23</f>
        <v>2</v>
      </c>
      <c r="P11" s="44" t="str">
        <f>'Emission Factors'!C24</f>
        <v>Natural gas industrial furnace</v>
      </c>
      <c r="Q11" s="44">
        <f>'Emission Factors'!G24</f>
        <v>0.25</v>
      </c>
      <c r="R11" s="63"/>
      <c r="S11" s="44"/>
      <c r="T11" s="44"/>
      <c r="U11" s="63"/>
      <c r="V11" s="44"/>
      <c r="W11" s="44"/>
      <c r="X11" s="35"/>
      <c r="Y11" s="44">
        <f>'Emission Factors'!G37</f>
        <v>2</v>
      </c>
      <c r="Z11" s="44" t="str">
        <f>'Emission Factors'!C38</f>
        <v>Natural gas power plant</v>
      </c>
      <c r="AA11" s="44">
        <f>'Emission Factors'!G38</f>
        <v>0.18</v>
      </c>
    </row>
    <row r="12" spans="1:72" x14ac:dyDescent="0.35">
      <c r="O12" s="24"/>
      <c r="P12" s="24"/>
      <c r="Q12" s="24"/>
      <c r="R12" s="24"/>
      <c r="S12" s="24"/>
      <c r="T12" s="24"/>
      <c r="U12" s="24"/>
      <c r="V12" s="24"/>
    </row>
    <row r="13" spans="1:72" x14ac:dyDescent="0.35">
      <c r="B13" s="16" t="s">
        <v>46</v>
      </c>
      <c r="C13" s="15"/>
      <c r="D13" s="16" t="s">
        <v>49</v>
      </c>
      <c r="E13" s="15"/>
      <c r="F13" s="15"/>
      <c r="G13" s="15"/>
      <c r="H13" s="15"/>
      <c r="I13" s="15"/>
      <c r="J13" s="15"/>
      <c r="K13" s="15"/>
      <c r="L13" s="15"/>
      <c r="M13" s="15"/>
      <c r="N13" s="15"/>
      <c r="O13" s="15"/>
      <c r="P13" s="15"/>
      <c r="Q13" s="15"/>
      <c r="R13" s="15"/>
      <c r="S13" s="15"/>
      <c r="T13" s="15"/>
      <c r="AN13" s="3" t="s">
        <v>186</v>
      </c>
      <c r="AO13" s="4"/>
      <c r="AP13" s="4"/>
      <c r="AQ13" s="4"/>
      <c r="AR13" s="4"/>
      <c r="AS13" s="4"/>
      <c r="AT13" s="4"/>
      <c r="AU13" s="4"/>
      <c r="AV13" s="4"/>
      <c r="AW13" s="5"/>
      <c r="AX13" s="3" t="s">
        <v>186</v>
      </c>
      <c r="AY13" s="4"/>
      <c r="AZ13" s="4"/>
      <c r="BA13" s="4"/>
      <c r="BB13" s="4"/>
      <c r="BC13" s="4"/>
      <c r="BD13" s="4"/>
      <c r="BE13" s="4"/>
      <c r="BF13" s="5"/>
      <c r="BH13" t="s">
        <v>186</v>
      </c>
      <c r="BR13" s="371" t="s">
        <v>186</v>
      </c>
      <c r="BS13" s="371" t="s">
        <v>186</v>
      </c>
      <c r="BT13" s="371" t="s">
        <v>186</v>
      </c>
    </row>
    <row r="14" spans="1:72" x14ac:dyDescent="0.35">
      <c r="AK14" t="s">
        <v>82</v>
      </c>
      <c r="AN14" s="194" t="s">
        <v>619</v>
      </c>
      <c r="AO14" s="12"/>
      <c r="AP14" s="12"/>
      <c r="AQ14" s="12"/>
      <c r="AR14" s="12"/>
      <c r="AS14" s="12"/>
      <c r="AT14" s="12"/>
      <c r="AU14" s="12"/>
      <c r="AV14" s="12"/>
      <c r="AW14" s="25"/>
      <c r="AX14" s="194" t="s">
        <v>597</v>
      </c>
      <c r="AY14" s="12"/>
      <c r="AZ14" s="12"/>
      <c r="BA14" s="12"/>
      <c r="BB14" s="12"/>
      <c r="BC14" s="12"/>
      <c r="BD14" s="12"/>
      <c r="BE14" s="12"/>
      <c r="BF14" s="25"/>
      <c r="BH14" s="78" t="s">
        <v>134</v>
      </c>
      <c r="BR14" s="372" t="s">
        <v>531</v>
      </c>
      <c r="BS14" s="372" t="s">
        <v>531</v>
      </c>
      <c r="BT14" s="372" t="s">
        <v>185</v>
      </c>
    </row>
    <row r="15" spans="1:72" x14ac:dyDescent="0.35">
      <c r="C15" s="40" t="s">
        <v>44</v>
      </c>
      <c r="D15" s="40" t="s">
        <v>50</v>
      </c>
      <c r="E15" s="88"/>
      <c r="F15" s="39" t="s">
        <v>379</v>
      </c>
      <c r="G15" s="39" t="s">
        <v>380</v>
      </c>
      <c r="H15" s="39"/>
      <c r="I15" s="39"/>
      <c r="J15" s="39"/>
      <c r="K15" s="39"/>
      <c r="L15" s="39"/>
      <c r="M15" s="39"/>
      <c r="N15" s="39"/>
      <c r="O15" s="39"/>
      <c r="P15" s="39"/>
      <c r="Q15" s="39"/>
      <c r="R15" s="39"/>
      <c r="S15" s="39"/>
      <c r="T15" s="39"/>
      <c r="AK15" t="s">
        <v>83</v>
      </c>
      <c r="AL15" t="s">
        <v>84</v>
      </c>
      <c r="AM15" t="s">
        <v>85</v>
      </c>
      <c r="AN15" s="11" t="s">
        <v>61</v>
      </c>
      <c r="AO15" s="12" t="s">
        <v>15</v>
      </c>
      <c r="AP15" s="12" t="s">
        <v>143</v>
      </c>
      <c r="AQ15" s="12" t="s">
        <v>60</v>
      </c>
      <c r="AR15" s="12" t="s">
        <v>62</v>
      </c>
      <c r="AS15" s="12" t="s">
        <v>33</v>
      </c>
      <c r="AT15" s="12" t="s">
        <v>136</v>
      </c>
      <c r="AU15" s="12" t="s">
        <v>137</v>
      </c>
      <c r="AV15" s="12" t="s">
        <v>138</v>
      </c>
      <c r="AW15" s="25" t="s">
        <v>139</v>
      </c>
      <c r="AX15" s="11" t="s">
        <v>61</v>
      </c>
      <c r="AY15" s="12" t="s">
        <v>15</v>
      </c>
      <c r="AZ15" s="12" t="s">
        <v>143</v>
      </c>
      <c r="BA15" s="12" t="s">
        <v>60</v>
      </c>
      <c r="BB15" s="12" t="s">
        <v>62</v>
      </c>
      <c r="BC15" s="12" t="s">
        <v>33</v>
      </c>
      <c r="BD15" s="12" t="s">
        <v>136</v>
      </c>
      <c r="BE15" s="12" t="s">
        <v>137</v>
      </c>
      <c r="BF15" s="25" t="s">
        <v>138</v>
      </c>
      <c r="BG15" t="s">
        <v>139</v>
      </c>
      <c r="BH15" t="s">
        <v>61</v>
      </c>
      <c r="BI15" t="s">
        <v>15</v>
      </c>
      <c r="BJ15" t="s">
        <v>143</v>
      </c>
      <c r="BK15" t="s">
        <v>60</v>
      </c>
      <c r="BL15" t="s">
        <v>62</v>
      </c>
      <c r="BM15" t="s">
        <v>33</v>
      </c>
      <c r="BN15" t="s">
        <v>136</v>
      </c>
      <c r="BO15" t="s">
        <v>137</v>
      </c>
      <c r="BP15" t="s">
        <v>138</v>
      </c>
      <c r="BQ15" t="s">
        <v>139</v>
      </c>
      <c r="BR15" s="381" t="s">
        <v>599</v>
      </c>
      <c r="BS15" s="381" t="s">
        <v>597</v>
      </c>
      <c r="BT15" s="381" t="s">
        <v>617</v>
      </c>
    </row>
    <row r="16" spans="1:72" x14ac:dyDescent="0.35">
      <c r="F16" t="s">
        <v>36</v>
      </c>
      <c r="J16" t="s">
        <v>41</v>
      </c>
      <c r="N16" t="s">
        <v>57</v>
      </c>
      <c r="AK16" t="s">
        <v>86</v>
      </c>
      <c r="AL16" t="str">
        <f>D13</f>
        <v>SOEC-CO</v>
      </c>
      <c r="AM16" t="str">
        <f>D15</f>
        <v>Syngas</v>
      </c>
      <c r="AN16" s="195">
        <f>T18</f>
        <v>-1</v>
      </c>
      <c r="AO16" s="55">
        <f>T20</f>
        <v>0.20071847507331378</v>
      </c>
      <c r="AP16" s="55"/>
      <c r="AQ16" s="55">
        <f>T24</f>
        <v>2.6706057203311184</v>
      </c>
      <c r="AR16" s="55"/>
      <c r="AS16" s="55">
        <f>T25</f>
        <v>1.8713241954044322</v>
      </c>
      <c r="AT16" s="12"/>
      <c r="AU16" s="12"/>
      <c r="AV16" s="12"/>
      <c r="AW16" s="25"/>
      <c r="AX16" s="195">
        <f>R18</f>
        <v>-1.3640000000000001</v>
      </c>
      <c r="AY16" s="55">
        <f>R20</f>
        <v>0.27378000000000002</v>
      </c>
      <c r="AZ16" s="55">
        <f>R24</f>
        <v>3.6427062025316457</v>
      </c>
      <c r="BA16" s="12"/>
      <c r="BB16" s="12"/>
      <c r="BC16" s="55">
        <f>R25</f>
        <v>2.5524862025316457</v>
      </c>
      <c r="BD16" s="12"/>
      <c r="BE16" s="12"/>
      <c r="BF16" s="25"/>
      <c r="BR16" s="373"/>
      <c r="BS16" s="373"/>
      <c r="BT16" s="372"/>
    </row>
    <row r="17" spans="1:72" x14ac:dyDescent="0.35">
      <c r="C17" t="s">
        <v>27</v>
      </c>
      <c r="F17" t="s">
        <v>34</v>
      </c>
      <c r="G17" t="s">
        <v>35</v>
      </c>
      <c r="J17" s="7" t="s">
        <v>34</v>
      </c>
      <c r="K17" t="s">
        <v>35</v>
      </c>
      <c r="N17" s="7" t="s">
        <v>34</v>
      </c>
      <c r="O17" t="s">
        <v>35</v>
      </c>
      <c r="R17" s="37" t="s">
        <v>597</v>
      </c>
      <c r="T17" s="37" t="s">
        <v>598</v>
      </c>
      <c r="U17" t="s">
        <v>601</v>
      </c>
      <c r="AK17" t="s">
        <v>86</v>
      </c>
      <c r="AL17" t="str">
        <f>D13</f>
        <v>SOEC-CO</v>
      </c>
      <c r="AM17" t="str">
        <f>D28</f>
        <v>Methane</v>
      </c>
      <c r="AN17" s="195">
        <f>T31</f>
        <v>-1</v>
      </c>
      <c r="AO17" s="55">
        <f>T33</f>
        <v>0.20071847507331378</v>
      </c>
      <c r="AP17" s="55">
        <f>T39</f>
        <v>0.92054618768328433</v>
      </c>
      <c r="AQ17" s="55">
        <f>T34</f>
        <v>2.7307780077211476</v>
      </c>
      <c r="AR17" s="55">
        <f>T40</f>
        <v>1.0080645161290323</v>
      </c>
      <c r="AS17" s="55">
        <f>T41</f>
        <v>3.8601071866067782</v>
      </c>
      <c r="AT17" s="12"/>
      <c r="AU17" s="12"/>
      <c r="AV17" s="12"/>
      <c r="AW17" s="25"/>
      <c r="AX17" s="195">
        <f>R31</f>
        <v>-2.7280000000000002</v>
      </c>
      <c r="AY17" s="55">
        <f>R33</f>
        <v>0.54756000000000005</v>
      </c>
      <c r="AZ17" s="55">
        <f>R39</f>
        <v>2.51125</v>
      </c>
      <c r="BA17" s="55">
        <f>R34</f>
        <v>7.28817</v>
      </c>
      <c r="BB17" s="55">
        <f>R40</f>
        <v>2.75</v>
      </c>
      <c r="BC17" s="55">
        <f>R41</f>
        <v>10.530372405063291</v>
      </c>
      <c r="BD17" s="12"/>
      <c r="BE17" s="12"/>
      <c r="BF17" s="25"/>
      <c r="BH17" s="2">
        <f>U31</f>
        <v>-5.4560000000000004E-2</v>
      </c>
      <c r="BI17" s="2">
        <f>U33</f>
        <v>1.0951200000000001E-2</v>
      </c>
      <c r="BJ17" s="2">
        <f>U39</f>
        <v>5.0224999999999999E-2</v>
      </c>
      <c r="BK17" s="2">
        <f>U34</f>
        <v>0.14899124810126582</v>
      </c>
      <c r="BL17" s="2">
        <f>U40</f>
        <v>5.5E-2</v>
      </c>
      <c r="BM17" s="2">
        <f>U41</f>
        <v>0.2106074481012658</v>
      </c>
      <c r="BR17" s="373">
        <f>Incumbents!L39-U41</f>
        <v>-0.14069665443192661</v>
      </c>
      <c r="BS17" s="373">
        <f>Incumbents!I39-R41</f>
        <v>-7.506940311245379</v>
      </c>
      <c r="BT17" s="373">
        <f>BS17*Constants!$C$10*0.5</f>
        <v>-10.209438823293716</v>
      </c>
    </row>
    <row r="18" spans="1:72" x14ac:dyDescent="0.35">
      <c r="C18" s="18" t="s">
        <v>28</v>
      </c>
      <c r="F18" s="309">
        <v>1.3640000000000001</v>
      </c>
      <c r="G18" s="22" t="s">
        <v>77</v>
      </c>
      <c r="J18" s="2">
        <f>F18</f>
        <v>1.3640000000000001</v>
      </c>
      <c r="K18" s="22" t="s">
        <v>77</v>
      </c>
      <c r="N18" s="415">
        <f t="shared" ref="N18:N23" si="0">J18</f>
        <v>1.3640000000000001</v>
      </c>
      <c r="O18" s="22" t="s">
        <v>77</v>
      </c>
      <c r="R18" s="2">
        <f>-N18</f>
        <v>-1.3640000000000001</v>
      </c>
      <c r="T18" s="38">
        <f>-R18/$R$18</f>
        <v>-1</v>
      </c>
      <c r="U18" s="2">
        <f>R18/'Energy &amp; Unit Conversions'!$E$17</f>
        <v>-5.5541982246111253E-2</v>
      </c>
      <c r="AK18" t="s">
        <v>86</v>
      </c>
      <c r="AL18" t="str">
        <f>D13</f>
        <v>SOEC-CO</v>
      </c>
      <c r="AM18" t="str">
        <f>D47</f>
        <v>Methanol</v>
      </c>
      <c r="AN18" s="195">
        <f>T50</f>
        <v>-1</v>
      </c>
      <c r="AO18" s="55">
        <f>T52</f>
        <v>0.20071847507331378</v>
      </c>
      <c r="AP18" s="55">
        <v>0</v>
      </c>
      <c r="AQ18" s="55">
        <f>T57</f>
        <v>3.127196629422027</v>
      </c>
      <c r="AR18" s="55">
        <f>T58</f>
        <v>1.002607964603101</v>
      </c>
      <c r="AS18" s="55">
        <f>T59</f>
        <v>3.330523069098442</v>
      </c>
      <c r="AT18" s="12"/>
      <c r="AU18" s="12"/>
      <c r="AV18" s="12"/>
      <c r="AW18" s="25"/>
      <c r="AX18" s="195">
        <f>R50</f>
        <v>-1.3640000000000001</v>
      </c>
      <c r="AY18" s="55">
        <f>R52</f>
        <v>0.27378000000000002</v>
      </c>
      <c r="AZ18" s="55">
        <f>R57</f>
        <v>4.2654962025316454</v>
      </c>
      <c r="BA18" s="55">
        <f>R53</f>
        <v>0.77978999999999998</v>
      </c>
      <c r="BB18" s="55">
        <f>R58</f>
        <v>1.36755726371863</v>
      </c>
      <c r="BC18" s="55">
        <f>R59</f>
        <v>4.5428334662502756</v>
      </c>
      <c r="BD18" s="12"/>
      <c r="BE18" s="12"/>
      <c r="BF18" s="25"/>
      <c r="BH18" s="2">
        <f>U50</f>
        <v>-6.7880959490395146E-2</v>
      </c>
      <c r="BI18" s="2">
        <f>U52</f>
        <v>1.3624962675425501E-2</v>
      </c>
      <c r="BJ18" s="2">
        <f>U57</f>
        <v>0.21227710772029687</v>
      </c>
      <c r="BK18" s="2">
        <f>U53</f>
        <v>3.8807106598984765E-2</v>
      </c>
      <c r="BL18" s="2">
        <f>U58</f>
        <v>6.805799062997063E-2</v>
      </c>
      <c r="BM18" s="2">
        <f>U59</f>
        <v>0.2648862081342826</v>
      </c>
      <c r="BR18" s="373">
        <f>Incumbents!L47-U59</f>
        <v>-0.18205477827534136</v>
      </c>
      <c r="BS18" s="373">
        <f>Incumbents!I47-R59</f>
        <v>-2.8784187146647104</v>
      </c>
      <c r="BT18" s="373">
        <f>BS18*Constants!$C$11*0.5</f>
        <v>-0.10074465501326488</v>
      </c>
    </row>
    <row r="19" spans="1:72" x14ac:dyDescent="0.35">
      <c r="C19" s="20" t="s">
        <v>104</v>
      </c>
      <c r="F19" s="316">
        <v>0.157</v>
      </c>
      <c r="G19" t="s">
        <v>677</v>
      </c>
      <c r="J19">
        <f>F19</f>
        <v>0.157</v>
      </c>
      <c r="K19" t="s">
        <v>677</v>
      </c>
      <c r="N19" s="416">
        <f t="shared" si="0"/>
        <v>0.157</v>
      </c>
      <c r="O19" t="s">
        <v>677</v>
      </c>
      <c r="U19" s="2"/>
      <c r="AK19" t="s">
        <v>86</v>
      </c>
      <c r="AL19" t="str">
        <f>D13</f>
        <v>SOEC-CO</v>
      </c>
      <c r="AM19" t="str">
        <f>D65</f>
        <v>Diesel</v>
      </c>
      <c r="AN19" s="195">
        <f>T68</f>
        <v>-1</v>
      </c>
      <c r="AO19" s="55">
        <f>T70</f>
        <v>0.20071847507331378</v>
      </c>
      <c r="AP19" s="55">
        <f>T75</f>
        <v>0</v>
      </c>
      <c r="AQ19" s="55">
        <f>T76</f>
        <v>3.0849879720205236</v>
      </c>
      <c r="AR19" s="55">
        <f>T77</f>
        <v>0.99132984827234472</v>
      </c>
      <c r="AS19" s="55">
        <f>T78</f>
        <v>3.277036295366182</v>
      </c>
      <c r="AT19" s="12"/>
      <c r="AU19" s="12"/>
      <c r="AV19" s="12"/>
      <c r="AW19" s="25"/>
      <c r="AX19" s="195">
        <f>R68</f>
        <v>-3.1372</v>
      </c>
      <c r="AY19" s="55">
        <f>R70</f>
        <v>0.62969399999999998</v>
      </c>
      <c r="AZ19" s="55">
        <f>R75</f>
        <v>1.3</v>
      </c>
      <c r="BA19" s="12">
        <f>R76</f>
        <v>9.6782242658227862</v>
      </c>
      <c r="BB19" s="12">
        <f>R77</f>
        <v>3.11</v>
      </c>
      <c r="BC19" s="55">
        <f>R78</f>
        <v>10.280718265822786</v>
      </c>
      <c r="BD19" s="12"/>
      <c r="BE19" s="12"/>
      <c r="BF19" s="25"/>
      <c r="BH19" s="2">
        <f>U68</f>
        <v>-7.2541447961708333E-2</v>
      </c>
      <c r="BI19" s="2">
        <f>U70</f>
        <v>1.4560408814484241E-2</v>
      </c>
      <c r="BJ19" s="2">
        <f>U75</f>
        <v>0</v>
      </c>
      <c r="BK19" s="2">
        <f>U76</f>
        <v>0.22378949443482291</v>
      </c>
      <c r="BL19" s="2">
        <f>U77</f>
        <v>7.1912502601336512E-2</v>
      </c>
      <c r="BM19" s="2">
        <f>U78</f>
        <v>0.23772095788893532</v>
      </c>
      <c r="BR19" s="373">
        <f>Incumbents!L23-U78</f>
        <v>-0.15298245332012406</v>
      </c>
      <c r="BS19" s="373">
        <f>Incumbents!I23-R78</f>
        <v>-6.6160321587354058</v>
      </c>
      <c r="BT19" s="373">
        <f>BS19*Constants!$C$9*0.5</f>
        <v>-3.804218491272858</v>
      </c>
    </row>
    <row r="20" spans="1:72" x14ac:dyDescent="0.35">
      <c r="C20" s="19" t="s">
        <v>29</v>
      </c>
      <c r="D20" s="7"/>
      <c r="E20" s="7"/>
      <c r="F20" s="344">
        <f>'Emission Factors'!G38</f>
        <v>0.18</v>
      </c>
      <c r="G20" s="32" t="s">
        <v>78</v>
      </c>
      <c r="H20" s="7"/>
      <c r="I20" s="7"/>
      <c r="J20" s="33">
        <f>F20</f>
        <v>0.18</v>
      </c>
      <c r="K20" s="32" t="s">
        <v>78</v>
      </c>
      <c r="L20" s="7"/>
      <c r="M20" s="7"/>
      <c r="N20" s="263">
        <f>J20</f>
        <v>0.18</v>
      </c>
      <c r="O20" s="32" t="s">
        <v>78</v>
      </c>
      <c r="P20" s="7"/>
      <c r="Q20" s="7"/>
      <c r="R20" s="33">
        <f>N20*(N18+N19)</f>
        <v>0.27378000000000002</v>
      </c>
      <c r="S20" s="7"/>
      <c r="T20" s="94">
        <f>-R20/$R$18</f>
        <v>0.20071847507331378</v>
      </c>
      <c r="U20" s="2">
        <f>R20/'Energy &amp; Unit Conversions'!$E$17</f>
        <v>1.1148301978988518E-2</v>
      </c>
      <c r="AK20" t="s">
        <v>86</v>
      </c>
      <c r="AL20" t="str">
        <f>D13</f>
        <v>SOEC-CO</v>
      </c>
      <c r="AM20" t="str">
        <f>D229</f>
        <v>Ethanol</v>
      </c>
      <c r="AN20" s="195">
        <f>T232</f>
        <v>-1</v>
      </c>
      <c r="AO20" s="55">
        <f>T234</f>
        <v>0.16731130250614693</v>
      </c>
      <c r="AP20" s="55">
        <v>0</v>
      </c>
      <c r="AQ20" s="55">
        <f>T237</f>
        <v>3.7375771412996168</v>
      </c>
      <c r="AR20" s="55">
        <f>T238</f>
        <v>1</v>
      </c>
      <c r="AS20" s="55">
        <f>T239</f>
        <v>3.9048884438057638</v>
      </c>
      <c r="AT20" s="12"/>
      <c r="AU20" s="12"/>
      <c r="AV20" s="12"/>
      <c r="AW20" s="25"/>
      <c r="AX20" s="195">
        <f>R232</f>
        <v>-1.9130434782608696</v>
      </c>
      <c r="AY20" s="55">
        <f>R234</f>
        <v>0.32007379609871589</v>
      </c>
      <c r="AZ20" s="55">
        <f>R237</f>
        <v>7.1501475746601368</v>
      </c>
      <c r="BA20" s="12"/>
      <c r="BB20" s="55">
        <f>R238</f>
        <v>1.9130434782608696</v>
      </c>
      <c r="BC20" s="55">
        <f>R239</f>
        <v>7.4702213707588534</v>
      </c>
      <c r="BD20" s="12"/>
      <c r="BE20" s="12"/>
      <c r="BF20" s="25"/>
      <c r="BH20" s="2">
        <f>U232</f>
        <v>-7.0948633619756452E-2</v>
      </c>
      <c r="BI20" s="2">
        <f>U234</f>
        <v>1.1870508301952859E-2</v>
      </c>
      <c r="BJ20" s="2">
        <f>U237</f>
        <v>0.26517599122364321</v>
      </c>
      <c r="BL20" s="2">
        <f>U238</f>
        <v>7.0948633619756452E-2</v>
      </c>
      <c r="BM20" s="2">
        <f>U239</f>
        <v>0.27704649952559607</v>
      </c>
      <c r="BR20" s="373">
        <f>Incumbents!L30-U239</f>
        <v>-0.17780854106118488</v>
      </c>
      <c r="BS20" s="373">
        <f>Incumbents!I30-R239</f>
        <v>-4.7943907091885087</v>
      </c>
      <c r="BT20" s="373">
        <f>BS20*Constants!$C$8*0.5</f>
        <v>-1.8474735387420422E-4</v>
      </c>
    </row>
    <row r="21" spans="1:72" x14ac:dyDescent="0.35">
      <c r="A21" s="48"/>
      <c r="C21" s="20" t="s">
        <v>30</v>
      </c>
      <c r="F21" s="313">
        <v>6.9489999999999998</v>
      </c>
      <c r="G21" s="23" t="s">
        <v>39</v>
      </c>
      <c r="J21" s="2">
        <f>F21</f>
        <v>6.9489999999999998</v>
      </c>
      <c r="K21" s="20" t="s">
        <v>42</v>
      </c>
      <c r="N21" s="264">
        <f t="shared" si="0"/>
        <v>6.9489999999999998</v>
      </c>
      <c r="O21" s="20" t="s">
        <v>42</v>
      </c>
      <c r="R21" s="2"/>
      <c r="T21" s="2"/>
      <c r="U21" s="2"/>
      <c r="AK21" t="s">
        <v>86</v>
      </c>
      <c r="AL21" t="str">
        <f>D103</f>
        <v>SOEC-EL</v>
      </c>
      <c r="AM21" t="str">
        <f>D105</f>
        <v>Methane</v>
      </c>
      <c r="AN21" s="119">
        <f>T108</f>
        <v>-1</v>
      </c>
      <c r="AO21" s="66">
        <f>T110</f>
        <v>0.20002909090909091</v>
      </c>
      <c r="AP21" s="66">
        <f>T112</f>
        <v>3.7988363636363633</v>
      </c>
      <c r="AQ21" s="66">
        <f>T113</f>
        <v>0.17096363636363637</v>
      </c>
      <c r="AR21" s="66">
        <f>T114</f>
        <v>1</v>
      </c>
      <c r="AS21" s="66">
        <f>T115</f>
        <v>4.16982909090909</v>
      </c>
      <c r="AT21" s="12">
        <f>IF(J117="Natural Gas",Z107,IF(J117="Renewable",AA107,IF(J117="Coal fired",AB107,0)))</f>
        <v>5.3929999999999998</v>
      </c>
      <c r="AU21" s="12">
        <f>IF(J117="Natural Gas",Z108,IF(J117="Renewable",AA108,IF(J117="Coal fired", AB108,0)))</f>
        <v>4.3</v>
      </c>
      <c r="AV21" s="12">
        <f>IF(J117="Natural Gas",Z109,IF(J117="Renewable",AA109,IF(J117="Coal fired",AB109,0)))</f>
        <v>4.0599999999999996</v>
      </c>
      <c r="AW21" s="25"/>
      <c r="AX21" s="11">
        <f>R108</f>
        <v>-2.75</v>
      </c>
      <c r="AY21" s="55">
        <f>R110</f>
        <v>0.55008000000000001</v>
      </c>
      <c r="AZ21" s="55">
        <f>R112</f>
        <v>10.4468</v>
      </c>
      <c r="BA21" s="55">
        <f>R113</f>
        <v>0.47015000000000001</v>
      </c>
      <c r="BB21" s="55">
        <f>R114</f>
        <v>2.75</v>
      </c>
      <c r="BC21" s="55">
        <f>R115</f>
        <v>11.467029999999999</v>
      </c>
      <c r="BD21" s="12">
        <f>IF(J117="Natural Gas",AF107,IF(J117="Renewable",AG107,IF(J117="Coal fired",AH107,0)))</f>
        <v>14.83</v>
      </c>
      <c r="BE21" s="12">
        <f>IF(J117="Natural Gas",AF108,IF(J117="Renewable",AG108,IF(J117="Coal fired", AH108,0)))</f>
        <v>11.07</v>
      </c>
      <c r="BF21" s="25">
        <f>IF(J117="Natural Gas",AF109,IF(J117="Renewable",AG109,IF(J117="Coal fired",AH109,0)))</f>
        <v>10.47</v>
      </c>
      <c r="BH21" s="2">
        <f>U108</f>
        <v>-5.5E-2</v>
      </c>
      <c r="BI21" s="2">
        <f>U110</f>
        <v>1.10016E-2</v>
      </c>
      <c r="BJ21" s="2">
        <f>U112</f>
        <v>0.20893599999999998</v>
      </c>
      <c r="BK21" s="2">
        <f>U113</f>
        <v>9.4029999999999999E-3</v>
      </c>
      <c r="BL21" s="2">
        <f>U114</f>
        <v>5.5E-2</v>
      </c>
      <c r="BM21" s="2">
        <f>U115</f>
        <v>0.22934059999999998</v>
      </c>
      <c r="BN21">
        <f>IF(J117="Natural Gas",AC107,IF(J117="Renewable",AD107,IF(J117="Coal fired",AE107,0)))</f>
        <v>0.29699999999999999</v>
      </c>
      <c r="BO21">
        <f>IF(J117="Natural Gas",AC108,IF(J117="Renewable",AD108,IF(J117="Coal fired", AE108,0)))</f>
        <v>0.221</v>
      </c>
      <c r="BP21">
        <f>IF(J117="Natural Gas",AC109,IF(J117="Renewable",AD109,IF(J117="Coal fired",AE109,0)))</f>
        <v>0.20899999999999999</v>
      </c>
      <c r="BR21" s="373">
        <f>Incumbents!L39-U115</f>
        <v>-0.15942980633066078</v>
      </c>
      <c r="BS21" s="373">
        <f>Incumbents!I39-R115</f>
        <v>-8.4435979061820881</v>
      </c>
      <c r="BT21" s="373">
        <f>BS21*Constants!$C$10*0.5</f>
        <v>-11.48329315240764</v>
      </c>
    </row>
    <row r="22" spans="1:72" x14ac:dyDescent="0.35">
      <c r="A22" s="48"/>
      <c r="C22" s="20" t="s">
        <v>31</v>
      </c>
      <c r="F22" s="313">
        <v>22</v>
      </c>
      <c r="G22" s="23" t="s">
        <v>40</v>
      </c>
      <c r="J22" s="2">
        <f>F22*24/5056</f>
        <v>0.10443037974683544</v>
      </c>
      <c r="K22" s="20" t="s">
        <v>42</v>
      </c>
      <c r="N22" s="264">
        <f t="shared" si="0"/>
        <v>0.10443037974683544</v>
      </c>
      <c r="O22" s="20" t="s">
        <v>42</v>
      </c>
      <c r="R22" s="2"/>
      <c r="T22" s="2"/>
      <c r="U22" s="2"/>
      <c r="AK22" t="s">
        <v>86</v>
      </c>
      <c r="AL22" t="str">
        <f>D103</f>
        <v>SOEC-EL</v>
      </c>
      <c r="AM22" t="str">
        <f>D120</f>
        <v>Methanol</v>
      </c>
      <c r="AN22" s="119">
        <f>T123</f>
        <v>-1</v>
      </c>
      <c r="AO22" s="66">
        <f>T125</f>
        <v>0.20004366812227073</v>
      </c>
      <c r="AP22" s="66">
        <f>T127</f>
        <v>2.7634716157205235</v>
      </c>
      <c r="AQ22" s="66">
        <f>T128</f>
        <v>0.56462154294032019</v>
      </c>
      <c r="AR22" s="66">
        <f>T129</f>
        <v>0.99531096340511638</v>
      </c>
      <c r="AS22" s="66">
        <f>T130</f>
        <v>3.5234477901882308</v>
      </c>
      <c r="AT22" s="12">
        <f>IF(J132="Natural Gas",Z122,IF(J132="Renewable",AA122,IF(J132="Coal fired",AB122,0)))</f>
        <v>4.04</v>
      </c>
      <c r="AU22" s="12">
        <f>IF(J132="Natural Gas",Z123,IF(J132="Renewable",AA123,IF(J132="Coal fired",AB123,0)))</f>
        <v>3.85</v>
      </c>
      <c r="AV22" s="12">
        <f>IF(J132="Natural Gas",Z124,IF(J132="Renewable",AA124,IF(J132="Coal fired",AB124,0)))</f>
        <v>3.85</v>
      </c>
      <c r="AW22" s="25">
        <f>IF(J132="Natural Gas",Z125,IF(J132="Renewable",AA125,IF(J132="Coal fired",AB125,0)))</f>
        <v>3.43</v>
      </c>
      <c r="AX22" s="195">
        <f>R123</f>
        <v>-1.3740000000000001</v>
      </c>
      <c r="AY22" s="55">
        <f>R125</f>
        <v>0.27485999999999999</v>
      </c>
      <c r="AZ22" s="55">
        <f>R127</f>
        <v>3.7970099999999998</v>
      </c>
      <c r="BA22" s="55">
        <f>R128</f>
        <v>0.77578999999999998</v>
      </c>
      <c r="BB22" s="55">
        <f>R129</f>
        <v>1.36755726371863</v>
      </c>
      <c r="BC22" s="55">
        <f>R130</f>
        <v>4.8412172637186295</v>
      </c>
      <c r="BD22" s="12">
        <f>IF(J132="Natural Gas",AF122,IF(J132="Renewable",AG122,IF(J132="Coal fired",AH122,0)))</f>
        <v>5.8</v>
      </c>
      <c r="BE22" s="12">
        <f>IF(J132="Natural Gas",AF123,IF(J132="Renewable",AG123,IF(J132="Coal fired",AH123,0)))</f>
        <v>5.72</v>
      </c>
      <c r="BF22" s="25">
        <f>IF(J132="Natural Gas",AF124,IF(J132="Renewable",AG124,IF(J132="Coal fired",AH124,0)))</f>
        <v>5.3</v>
      </c>
      <c r="BG22">
        <f>IF(J132="Natural Gas",AF125,IF(J132="Renewable",AG125,IF(J132="Coal fired",AH125,0)))</f>
        <v>4.8899999999999997</v>
      </c>
      <c r="BH22" s="2">
        <f>U123</f>
        <v>-6.837862048372649E-2</v>
      </c>
      <c r="BI22" s="2">
        <f>U125</f>
        <v>1.3678710062705284E-2</v>
      </c>
      <c r="BJ22" s="2">
        <f>U127</f>
        <v>0.18896237682890413</v>
      </c>
      <c r="BK22" s="2">
        <f>U128</f>
        <v>3.8608042201652232E-2</v>
      </c>
      <c r="BL22" s="2">
        <f>U129</f>
        <v>6.805799062997063E-2</v>
      </c>
      <c r="BM22" s="2">
        <f>U130</f>
        <v>0.24092849923950577</v>
      </c>
      <c r="BN22">
        <f>IF(J132="Natural Gas",AC122,IF(J132="Renewable",AD122,IF(J132="Coal fired",AE122,0)))</f>
        <v>0.28899999999999998</v>
      </c>
      <c r="BO22">
        <f>IF(J132="Natural Gas",AC123,IF(J132="Renewable",AD123,IF(J132="Coal fired",AE123,0)))</f>
        <v>0.28000000000000003</v>
      </c>
      <c r="BP22">
        <f>IF(J132="Natural Gas",AC124,IF(J132="Renewable",AD124,IF(J132="Coal fired",AE124,0)))</f>
        <v>0.26</v>
      </c>
      <c r="BQ22">
        <f>IF(J132="Natural Gas",AC125,IF(J132="Renewable",AD125,IF(J132="Coal fired",AE125,0)))</f>
        <v>0.24399999999999999</v>
      </c>
      <c r="BR22" s="373">
        <f>Incumbents!L47-U130</f>
        <v>-0.15809706938056453</v>
      </c>
      <c r="BS22" s="373">
        <f>Incumbents!I47-R130</f>
        <v>-3.1768025121330643</v>
      </c>
      <c r="BT22" s="373">
        <f>BS22*Constants!$C$11*0.5</f>
        <v>-0.11118808792465726</v>
      </c>
    </row>
    <row r="23" spans="1:72" x14ac:dyDescent="0.35">
      <c r="A23" s="48"/>
      <c r="C23" s="20" t="s">
        <v>32</v>
      </c>
      <c r="F23" s="313">
        <v>46</v>
      </c>
      <c r="G23" s="23" t="s">
        <v>40</v>
      </c>
      <c r="J23" s="2">
        <f>F23*24/5056</f>
        <v>0.21835443037974683</v>
      </c>
      <c r="K23" s="20" t="s">
        <v>42</v>
      </c>
      <c r="N23" s="264">
        <f t="shared" si="0"/>
        <v>0.21835443037974683</v>
      </c>
      <c r="O23" s="20" t="s">
        <v>42</v>
      </c>
      <c r="R23" s="2"/>
      <c r="T23" s="2"/>
      <c r="U23" s="2"/>
      <c r="AK23" t="s">
        <v>86</v>
      </c>
      <c r="AL23" t="str">
        <f>D103</f>
        <v>SOEC-EL</v>
      </c>
      <c r="AM23" t="str">
        <f>D135</f>
        <v>Diesel</v>
      </c>
      <c r="AN23" s="369">
        <f>T138</f>
        <v>-1</v>
      </c>
      <c r="AO23" s="85">
        <f>T140</f>
        <v>0.19999999999999998</v>
      </c>
      <c r="AP23" s="85">
        <f>T142</f>
        <v>3.8157481672025724</v>
      </c>
      <c r="AQ23" s="85">
        <f>T143</f>
        <v>0.52828474455162555</v>
      </c>
      <c r="AR23" s="85">
        <f>T144</f>
        <v>1</v>
      </c>
      <c r="AS23" s="85">
        <f>T145</f>
        <v>4.5440329117541971</v>
      </c>
      <c r="AT23" s="7"/>
      <c r="AU23" s="7"/>
      <c r="AV23" s="7"/>
      <c r="AW23" s="26"/>
      <c r="AX23" s="370">
        <f>R138</f>
        <v>-3.11</v>
      </c>
      <c r="AY23" s="60">
        <f>R140</f>
        <v>0.62199999999999989</v>
      </c>
      <c r="AZ23" s="60">
        <f>R142</f>
        <v>11.8669768</v>
      </c>
      <c r="BA23" s="60">
        <f>R143</f>
        <v>1.6429655555555556</v>
      </c>
      <c r="BB23" s="7">
        <f>R144</f>
        <v>3.11</v>
      </c>
      <c r="BC23" s="60">
        <f>R145</f>
        <v>14.131942355555555</v>
      </c>
      <c r="BD23" s="7"/>
      <c r="BE23" s="7"/>
      <c r="BF23" s="26"/>
      <c r="BH23" s="2">
        <f>U138</f>
        <v>-7.1912502601336512E-2</v>
      </c>
      <c r="BI23" s="2">
        <f>U140</f>
        <v>1.4382500520267299E-2</v>
      </c>
      <c r="BJ23" s="2">
        <f>U142</f>
        <v>0.27439999999999998</v>
      </c>
      <c r="BK23" s="2">
        <f>U143</f>
        <v>3.7990278066815167E-2</v>
      </c>
      <c r="BL23" s="2">
        <f>U144</f>
        <v>7.1912502601336512E-2</v>
      </c>
      <c r="BM23" s="2">
        <f>U145</f>
        <v>0.32677277858708248</v>
      </c>
      <c r="BR23" s="374">
        <f>Incumbents!L23-U145</f>
        <v>-0.24203427401827121</v>
      </c>
      <c r="BS23" s="374">
        <f>Incumbents!I23-R145</f>
        <v>-10.467256248468175</v>
      </c>
      <c r="BT23" s="374">
        <f>BS23*Constants!$C$9*0.5</f>
        <v>-6.0186723428692002</v>
      </c>
    </row>
    <row r="24" spans="1:72" x14ac:dyDescent="0.35">
      <c r="A24" s="31"/>
      <c r="C24" s="19" t="s">
        <v>68</v>
      </c>
      <c r="F24" s="17"/>
      <c r="G24" s="23"/>
      <c r="J24" s="2">
        <f>SUM(J21:J23)</f>
        <v>7.2717848101265821</v>
      </c>
      <c r="K24" s="20"/>
      <c r="L24" s="12"/>
      <c r="M24" s="12"/>
      <c r="N24" s="116">
        <f>SUM(N21:N23)</f>
        <v>7.2717848101265821</v>
      </c>
      <c r="O24" s="20" t="s">
        <v>42</v>
      </c>
      <c r="R24" s="80">
        <f>N19+N21*K26+(N22+N23)*Q11</f>
        <v>3.6427062025316457</v>
      </c>
      <c r="T24" s="98">
        <f>-R24/$R$18</f>
        <v>2.6706057203311184</v>
      </c>
      <c r="U24" s="2">
        <f>R24/'Energy &amp; Unit Conversions'!$E$17</f>
        <v>0.14833073550499412</v>
      </c>
      <c r="AK24" t="s">
        <v>86</v>
      </c>
      <c r="AL24" t="str">
        <f>D103</f>
        <v>SOEC-EL</v>
      </c>
      <c r="BS24" s="2"/>
      <c r="BT24" s="2"/>
    </row>
    <row r="25" spans="1:72" x14ac:dyDescent="0.35">
      <c r="C25" s="34" t="s">
        <v>33</v>
      </c>
      <c r="D25" s="35"/>
      <c r="E25" s="35"/>
      <c r="F25" s="35"/>
      <c r="G25" s="35"/>
      <c r="H25" s="35"/>
      <c r="I25" s="35"/>
      <c r="J25" s="35"/>
      <c r="K25" s="35"/>
      <c r="L25" s="35"/>
      <c r="M25" s="35"/>
      <c r="N25" s="35"/>
      <c r="O25" s="35"/>
      <c r="P25" s="35"/>
      <c r="Q25" s="35"/>
      <c r="R25" s="36">
        <f>R18+R20+R24</f>
        <v>2.5524862025316457</v>
      </c>
      <c r="S25" s="35"/>
      <c r="T25" s="103">
        <f>T24+T20+T18</f>
        <v>1.8713241954044322</v>
      </c>
      <c r="U25" s="2">
        <f>SUM(U18:U24)</f>
        <v>0.10393705523787139</v>
      </c>
      <c r="AN25" s="2"/>
      <c r="AO25" s="2"/>
      <c r="AP25" s="2"/>
      <c r="AQ25" s="2"/>
      <c r="AR25" s="2"/>
      <c r="AS25" s="2"/>
      <c r="AY25" s="2"/>
      <c r="AZ25" s="2"/>
      <c r="BA25" s="2"/>
      <c r="BB25" s="2"/>
      <c r="BC25" s="2"/>
      <c r="BH25" s="2"/>
      <c r="BI25" s="2"/>
      <c r="BJ25" s="2"/>
      <c r="BK25" s="2"/>
      <c r="BL25" s="2"/>
      <c r="BM25" s="2"/>
      <c r="BR25" s="2"/>
      <c r="BS25" s="2"/>
      <c r="BT25" s="2"/>
    </row>
    <row r="26" spans="1:72" x14ac:dyDescent="0.35">
      <c r="C26" s="28" t="s">
        <v>81</v>
      </c>
      <c r="D26" s="12"/>
      <c r="E26" s="12"/>
      <c r="F26" s="12"/>
      <c r="G26" s="12"/>
      <c r="H26" s="12"/>
      <c r="I26" s="12"/>
      <c r="J26" s="58" t="str">
        <f>L11</f>
        <v>Natural gas</v>
      </c>
      <c r="K26">
        <f>VLOOKUP(J26,'Emission Factors'!C6:G8,5,FALSE)</f>
        <v>0.49</v>
      </c>
      <c r="L26" s="12"/>
      <c r="S26" s="12"/>
      <c r="AN26" s="2"/>
      <c r="AO26" s="2"/>
      <c r="AP26" s="2"/>
      <c r="AQ26" s="2"/>
      <c r="AR26" s="2"/>
      <c r="AS26" s="2"/>
      <c r="AX26" s="2"/>
      <c r="AY26" s="2"/>
      <c r="AZ26" s="2"/>
      <c r="BA26" s="2"/>
      <c r="BB26" s="2"/>
      <c r="BC26" s="2"/>
      <c r="BH26" s="2"/>
      <c r="BI26" s="2"/>
      <c r="BJ26" s="2"/>
      <c r="BK26" s="2"/>
      <c r="BL26" s="2"/>
      <c r="BM26" s="2"/>
      <c r="BR26" s="2"/>
      <c r="BS26" s="2"/>
      <c r="BT26" s="2"/>
    </row>
    <row r="27" spans="1:72" x14ac:dyDescent="0.35">
      <c r="AN27" s="2"/>
      <c r="AO27" s="2"/>
      <c r="AP27" s="2"/>
      <c r="AQ27" s="2"/>
      <c r="AR27" s="2"/>
      <c r="AS27" s="2"/>
      <c r="AX27" s="59"/>
      <c r="AY27" s="59"/>
      <c r="AZ27" s="59"/>
      <c r="BA27" s="59"/>
      <c r="BC27" s="59"/>
      <c r="BH27" s="2"/>
      <c r="BI27" s="2"/>
      <c r="BJ27" s="2"/>
      <c r="BK27" s="2"/>
      <c r="BL27" s="2"/>
      <c r="BM27" s="2"/>
      <c r="BR27" s="2"/>
      <c r="BS27" s="2"/>
      <c r="BT27" s="2"/>
    </row>
    <row r="28" spans="1:72" x14ac:dyDescent="0.35">
      <c r="C28" s="41" t="s">
        <v>44</v>
      </c>
      <c r="D28" s="40" t="s">
        <v>51</v>
      </c>
      <c r="E28" s="40"/>
      <c r="F28" s="39" t="s">
        <v>379</v>
      </c>
      <c r="G28" s="39" t="s">
        <v>380</v>
      </c>
      <c r="H28" s="39"/>
      <c r="I28" s="40"/>
      <c r="J28" s="40"/>
      <c r="K28" s="40"/>
      <c r="L28" s="40"/>
      <c r="M28" s="40"/>
      <c r="N28" s="40"/>
      <c r="O28" s="40"/>
      <c r="P28" s="40"/>
      <c r="Q28" s="40"/>
      <c r="R28" s="40"/>
      <c r="S28" s="40"/>
      <c r="T28" s="40"/>
    </row>
    <row r="29" spans="1:72" x14ac:dyDescent="0.35">
      <c r="F29" t="s">
        <v>36</v>
      </c>
      <c r="J29" t="s">
        <v>41</v>
      </c>
      <c r="N29" t="s">
        <v>57</v>
      </c>
    </row>
    <row r="30" spans="1:72" x14ac:dyDescent="0.35">
      <c r="C30" t="s">
        <v>27</v>
      </c>
      <c r="F30" t="s">
        <v>34</v>
      </c>
      <c r="G30" t="s">
        <v>35</v>
      </c>
      <c r="J30" s="7" t="s">
        <v>34</v>
      </c>
      <c r="K30" t="s">
        <v>35</v>
      </c>
      <c r="N30" s="7" t="s">
        <v>34</v>
      </c>
      <c r="O30" t="s">
        <v>35</v>
      </c>
      <c r="R30" s="37" t="s">
        <v>597</v>
      </c>
      <c r="T30" s="37" t="s">
        <v>598</v>
      </c>
      <c r="U30" t="s">
        <v>601</v>
      </c>
    </row>
    <row r="31" spans="1:72" x14ac:dyDescent="0.35">
      <c r="A31" t="s">
        <v>61</v>
      </c>
      <c r="C31" s="18" t="s">
        <v>28</v>
      </c>
      <c r="F31" s="309">
        <v>1.3640000000000001</v>
      </c>
      <c r="G31" s="22" t="s">
        <v>37</v>
      </c>
      <c r="J31" s="2">
        <f>F31*'Process Correlations'!D7</f>
        <v>2.7280000000000002</v>
      </c>
      <c r="K31" s="22" t="s">
        <v>75</v>
      </c>
      <c r="N31" s="343">
        <f>J31</f>
        <v>2.7280000000000002</v>
      </c>
      <c r="O31" s="22" t="s">
        <v>75</v>
      </c>
      <c r="R31" s="2">
        <f>-N31</f>
        <v>-2.7280000000000002</v>
      </c>
      <c r="T31" s="38">
        <f>-R31/$R$31</f>
        <v>-1</v>
      </c>
      <c r="U31" s="2">
        <f>R31/'Energy &amp; Unit Conversions'!$E$10</f>
        <v>-5.4560000000000004E-2</v>
      </c>
    </row>
    <row r="32" spans="1:72" x14ac:dyDescent="0.35">
      <c r="C32" t="s">
        <v>104</v>
      </c>
      <c r="F32" s="316">
        <v>0.157</v>
      </c>
      <c r="G32" t="s">
        <v>37</v>
      </c>
      <c r="J32">
        <f>F32*'Process Correlations'!D7</f>
        <v>0.314</v>
      </c>
      <c r="K32" t="s">
        <v>602</v>
      </c>
      <c r="N32" s="319">
        <f>J32</f>
        <v>0.314</v>
      </c>
      <c r="O32" t="s">
        <v>602</v>
      </c>
      <c r="U32" s="2"/>
    </row>
    <row r="33" spans="1:21" x14ac:dyDescent="0.35">
      <c r="A33" t="s">
        <v>15</v>
      </c>
      <c r="C33" s="19" t="s">
        <v>29</v>
      </c>
      <c r="D33" s="7"/>
      <c r="E33" s="7"/>
      <c r="F33" s="345">
        <f>K44</f>
        <v>0.18</v>
      </c>
      <c r="G33" s="32" t="s">
        <v>38</v>
      </c>
      <c r="H33" s="7" t="s">
        <v>45</v>
      </c>
      <c r="I33" s="7"/>
      <c r="J33" s="33">
        <f>F33</f>
        <v>0.18</v>
      </c>
      <c r="K33" s="32" t="s">
        <v>38</v>
      </c>
      <c r="L33" s="7"/>
      <c r="M33" s="7"/>
      <c r="N33" s="85">
        <f>J33</f>
        <v>0.18</v>
      </c>
      <c r="O33" s="32" t="s">
        <v>38</v>
      </c>
      <c r="P33" s="7"/>
      <c r="Q33" s="7"/>
      <c r="R33" s="33">
        <f>N33*(N31+N32)</f>
        <v>0.54756000000000005</v>
      </c>
      <c r="S33" s="7"/>
      <c r="T33" s="94">
        <f>-R33/$R$31</f>
        <v>0.20071847507331378</v>
      </c>
      <c r="U33" s="33">
        <f>R33/'Energy &amp; Unit Conversions'!$E$10</f>
        <v>1.0951200000000001E-2</v>
      </c>
    </row>
    <row r="34" spans="1:21" ht="15" customHeight="1" x14ac:dyDescent="0.35">
      <c r="A34" t="s">
        <v>135</v>
      </c>
      <c r="C34" s="28" t="s">
        <v>72</v>
      </c>
      <c r="D34" s="58"/>
      <c r="E34" s="58"/>
      <c r="F34" s="318">
        <v>0.33500000000000002</v>
      </c>
      <c r="G34" s="23" t="s">
        <v>76</v>
      </c>
      <c r="H34" s="12"/>
      <c r="I34" s="12"/>
      <c r="J34" s="55">
        <f>F34</f>
        <v>0.33500000000000002</v>
      </c>
      <c r="K34" s="23" t="s">
        <v>76</v>
      </c>
      <c r="L34" s="12"/>
      <c r="M34" s="12"/>
      <c r="N34" s="66">
        <f>J34+F35*'Process Correlations'!D7</f>
        <v>14.233000000000001</v>
      </c>
      <c r="O34" s="23" t="s">
        <v>76</v>
      </c>
      <c r="P34" s="12"/>
      <c r="Q34" s="12"/>
      <c r="R34" s="55">
        <f>N34*K43+N32</f>
        <v>7.28817</v>
      </c>
      <c r="S34" s="12"/>
      <c r="T34" s="98">
        <f>-R37/R31</f>
        <v>2.7307780077211476</v>
      </c>
      <c r="U34" s="55">
        <f>R37/'Energy &amp; Unit Conversions'!$E$10</f>
        <v>0.14899124810126582</v>
      </c>
    </row>
    <row r="35" spans="1:21" x14ac:dyDescent="0.35">
      <c r="A35" s="48"/>
      <c r="C35" s="20" t="s">
        <v>30</v>
      </c>
      <c r="D35" s="12"/>
      <c r="E35" s="12"/>
      <c r="F35" s="311">
        <v>6.9489999999999998</v>
      </c>
      <c r="G35" s="23" t="s">
        <v>39</v>
      </c>
      <c r="H35" s="12"/>
      <c r="I35" s="12"/>
      <c r="J35" s="55"/>
      <c r="K35" s="20"/>
      <c r="L35" s="12"/>
      <c r="M35" s="12"/>
      <c r="N35" s="55"/>
      <c r="O35" s="20"/>
      <c r="P35" s="12"/>
      <c r="Q35" s="12"/>
      <c r="R35" s="12"/>
      <c r="S35" s="12"/>
      <c r="T35" s="12"/>
      <c r="U35" s="12"/>
    </row>
    <row r="36" spans="1:21" x14ac:dyDescent="0.35">
      <c r="A36" s="48"/>
      <c r="C36" s="20" t="s">
        <v>31</v>
      </c>
      <c r="D36" s="12"/>
      <c r="E36" s="12"/>
      <c r="F36" s="313">
        <f>22</f>
        <v>22</v>
      </c>
      <c r="G36" s="23" t="s">
        <v>40</v>
      </c>
      <c r="H36" s="12"/>
      <c r="I36" s="12"/>
      <c r="J36" s="55">
        <f>(F36*24/5056)*'Process Correlations'!D7+(F37*24/5056)*'Process Correlations'!D7</f>
        <v>0.64556962025316456</v>
      </c>
      <c r="K36" s="20" t="s">
        <v>76</v>
      </c>
      <c r="L36" s="12"/>
      <c r="M36" s="12"/>
      <c r="N36" s="46">
        <f>'Main Input &amp; Output'!D84</f>
        <v>0.645569620253165</v>
      </c>
      <c r="O36" s="20" t="s">
        <v>76</v>
      </c>
      <c r="P36" s="12"/>
      <c r="Q36" s="12"/>
      <c r="R36" s="55">
        <f>N36*K45</f>
        <v>0.16139240506329125</v>
      </c>
      <c r="S36" s="12"/>
      <c r="T36" s="12"/>
      <c r="U36" s="55"/>
    </row>
    <row r="37" spans="1:21" x14ac:dyDescent="0.35">
      <c r="A37" s="48"/>
      <c r="C37" s="19" t="s">
        <v>32</v>
      </c>
      <c r="D37" s="7"/>
      <c r="E37" s="7"/>
      <c r="F37" s="410">
        <v>46</v>
      </c>
      <c r="G37" s="32" t="s">
        <v>40</v>
      </c>
      <c r="H37" s="7"/>
      <c r="I37" s="7"/>
      <c r="J37" s="33" t="s">
        <v>676</v>
      </c>
      <c r="K37" s="19"/>
      <c r="L37" s="7"/>
      <c r="M37" s="7"/>
      <c r="N37" s="33"/>
      <c r="O37" s="19"/>
      <c r="P37" s="7"/>
      <c r="Q37" s="7"/>
      <c r="R37" s="33">
        <f>R34+R36</f>
        <v>7.4495624050632916</v>
      </c>
      <c r="S37" s="7"/>
      <c r="T37" s="7"/>
      <c r="U37" s="33"/>
    </row>
    <row r="38" spans="1:21" x14ac:dyDescent="0.35">
      <c r="A38" s="48"/>
      <c r="C38" s="28" t="s">
        <v>69</v>
      </c>
      <c r="D38" s="12"/>
      <c r="E38" s="12"/>
      <c r="F38" s="313">
        <v>41</v>
      </c>
      <c r="G38" s="23" t="s">
        <v>70</v>
      </c>
      <c r="H38" s="12"/>
      <c r="I38" s="12"/>
      <c r="J38" s="55">
        <f>F38*'Process Correlations'!D8</f>
        <v>5.125</v>
      </c>
      <c r="K38" s="20" t="s">
        <v>76</v>
      </c>
      <c r="L38" s="12"/>
      <c r="M38" s="12"/>
      <c r="N38" s="46">
        <f>'Main Input &amp; Output'!D83</f>
        <v>5.125</v>
      </c>
      <c r="O38" s="20" t="s">
        <v>76</v>
      </c>
      <c r="P38" s="12"/>
      <c r="Q38" s="12"/>
      <c r="R38" s="55">
        <f>N38*K43</f>
        <v>2.51125</v>
      </c>
      <c r="S38" s="12"/>
      <c r="T38" s="12"/>
    </row>
    <row r="39" spans="1:21" x14ac:dyDescent="0.35">
      <c r="A39" t="s">
        <v>59</v>
      </c>
      <c r="C39" s="28" t="s">
        <v>68</v>
      </c>
      <c r="J39" s="2"/>
      <c r="N39" s="80"/>
      <c r="P39" s="7"/>
      <c r="Q39" s="7"/>
      <c r="R39" s="33">
        <f>R38</f>
        <v>2.51125</v>
      </c>
      <c r="S39" s="7"/>
      <c r="T39" s="101">
        <f>-R39/$R$31</f>
        <v>0.92054618768328433</v>
      </c>
      <c r="U39" s="2">
        <f>R39/'Energy &amp; Unit Conversions'!$E$10</f>
        <v>5.0224999999999999E-2</v>
      </c>
    </row>
    <row r="40" spans="1:21" x14ac:dyDescent="0.35">
      <c r="A40" t="s">
        <v>62</v>
      </c>
      <c r="C40" s="34" t="s">
        <v>73</v>
      </c>
      <c r="D40" s="35"/>
      <c r="E40" s="35"/>
      <c r="F40" s="322">
        <f>'Emission Factors'!S7</f>
        <v>2.75</v>
      </c>
      <c r="G40" s="49" t="s">
        <v>93</v>
      </c>
      <c r="H40" s="35"/>
      <c r="I40" s="35"/>
      <c r="J40" s="36">
        <f>F40</f>
        <v>2.75</v>
      </c>
      <c r="K40" s="49" t="s">
        <v>75</v>
      </c>
      <c r="L40" s="35"/>
      <c r="M40" s="35"/>
      <c r="N40" s="50">
        <f>J40</f>
        <v>2.75</v>
      </c>
      <c r="O40" s="49" t="s">
        <v>75</v>
      </c>
      <c r="P40" s="35"/>
      <c r="Q40" s="35"/>
      <c r="R40" s="36">
        <f>N40</f>
        <v>2.75</v>
      </c>
      <c r="S40" s="35"/>
      <c r="T40" s="104">
        <f>-R40/$R$31</f>
        <v>1.0080645161290323</v>
      </c>
      <c r="U40" s="2">
        <f>R40/'Energy &amp; Unit Conversions'!$E$10</f>
        <v>5.5E-2</v>
      </c>
    </row>
    <row r="41" spans="1:21" x14ac:dyDescent="0.35">
      <c r="C41" s="34" t="s">
        <v>33</v>
      </c>
      <c r="D41" s="35"/>
      <c r="E41" s="35"/>
      <c r="F41" s="35"/>
      <c r="G41" s="35"/>
      <c r="H41" s="35"/>
      <c r="I41" s="35"/>
      <c r="J41" s="35"/>
      <c r="K41" s="35"/>
      <c r="L41" s="35"/>
      <c r="M41" s="35"/>
      <c r="N41" s="35"/>
      <c r="O41" s="35"/>
      <c r="P41" s="35"/>
      <c r="Q41" s="35"/>
      <c r="R41" s="36">
        <f>R31+R33+R37+R39+R40</f>
        <v>10.530372405063291</v>
      </c>
      <c r="S41" s="35"/>
      <c r="T41" s="103">
        <f>SUM(T31:T40)</f>
        <v>3.8601071866067782</v>
      </c>
      <c r="U41" s="2">
        <f>SUM(U31:U40)</f>
        <v>0.2106074481012658</v>
      </c>
    </row>
    <row r="42" spans="1:21" x14ac:dyDescent="0.35">
      <c r="C42" s="28"/>
      <c r="J42" s="2"/>
      <c r="N42" s="2"/>
    </row>
    <row r="43" spans="1:21" x14ac:dyDescent="0.35">
      <c r="C43" s="28" t="s">
        <v>81</v>
      </c>
      <c r="I43" s="43">
        <f>K11</f>
        <v>2</v>
      </c>
      <c r="J43" s="24" t="str">
        <f>VLOOKUP(I43,'Emission Factors'!B6:C8,2,FALSE)</f>
        <v>Natural gas</v>
      </c>
      <c r="K43">
        <f>VLOOKUP(I43,'Emission Factors'!F6:G8,2,FALSE)</f>
        <v>0.49</v>
      </c>
    </row>
    <row r="44" spans="1:21" x14ac:dyDescent="0.35">
      <c r="C44" s="28" t="s">
        <v>15</v>
      </c>
      <c r="I44" s="43">
        <f>Y11</f>
        <v>2</v>
      </c>
      <c r="J44" s="24" t="str">
        <f>VLOOKUP(I44,'Emission Factors'!B34:C36,2,FALSE)</f>
        <v>Natural gas power plant</v>
      </c>
      <c r="K44">
        <f>VLOOKUP(I44,'Emission Factors'!F34:G36,2,FALSE)</f>
        <v>0.18</v>
      </c>
    </row>
    <row r="45" spans="1:21" x14ac:dyDescent="0.35">
      <c r="C45" s="28" t="s">
        <v>9</v>
      </c>
      <c r="I45" s="43">
        <f>O11</f>
        <v>2</v>
      </c>
      <c r="J45" t="str">
        <f>VLOOKUP(I45,'Emission Factors'!B20:C22,2,FALSE)</f>
        <v>Natural gas industrial furnace</v>
      </c>
      <c r="K45">
        <f>VLOOKUP(I45,'Emission Factors'!F20:G22,2,FALSE)</f>
        <v>0.25</v>
      </c>
    </row>
    <row r="47" spans="1:21" x14ac:dyDescent="0.35">
      <c r="C47" s="41" t="s">
        <v>44</v>
      </c>
      <c r="D47" s="40" t="s">
        <v>53</v>
      </c>
      <c r="E47" s="39"/>
      <c r="F47" s="39" t="s">
        <v>379</v>
      </c>
      <c r="G47" s="39" t="s">
        <v>380</v>
      </c>
      <c r="H47" s="39"/>
      <c r="I47" s="39"/>
      <c r="J47" s="39"/>
      <c r="K47" s="39"/>
      <c r="L47" s="39"/>
      <c r="M47" s="39"/>
      <c r="N47" s="39"/>
      <c r="O47" s="39"/>
      <c r="P47" s="39"/>
      <c r="Q47" s="39"/>
      <c r="R47" s="39"/>
      <c r="S47" s="39"/>
      <c r="T47" s="39"/>
    </row>
    <row r="48" spans="1:21" x14ac:dyDescent="0.35">
      <c r="F48" t="s">
        <v>36</v>
      </c>
      <c r="J48" t="s">
        <v>41</v>
      </c>
      <c r="N48" t="s">
        <v>57</v>
      </c>
    </row>
    <row r="49" spans="3:33" x14ac:dyDescent="0.35">
      <c r="C49" t="s">
        <v>27</v>
      </c>
      <c r="F49" t="s">
        <v>34</v>
      </c>
      <c r="G49" t="s">
        <v>35</v>
      </c>
      <c r="J49" s="12" t="s">
        <v>34</v>
      </c>
      <c r="K49" t="s">
        <v>35</v>
      </c>
      <c r="N49" s="12" t="s">
        <v>34</v>
      </c>
      <c r="O49" t="s">
        <v>35</v>
      </c>
      <c r="R49" s="37" t="s">
        <v>597</v>
      </c>
      <c r="T49" s="37" t="s">
        <v>598</v>
      </c>
      <c r="U49" t="s">
        <v>601</v>
      </c>
    </row>
    <row r="50" spans="3:33" x14ac:dyDescent="0.35">
      <c r="C50" s="18" t="s">
        <v>28</v>
      </c>
      <c r="D50" s="4"/>
      <c r="E50" s="4"/>
      <c r="F50" s="309">
        <v>1.3640000000000001</v>
      </c>
      <c r="G50" s="22" t="s">
        <v>37</v>
      </c>
      <c r="H50" s="4"/>
      <c r="I50" s="4"/>
      <c r="J50" s="51">
        <f>F50*'Process Correlations'!D11</f>
        <v>1.3640000000000001</v>
      </c>
      <c r="K50" s="22" t="s">
        <v>95</v>
      </c>
      <c r="L50" s="4"/>
      <c r="M50" s="4"/>
      <c r="N50" s="331">
        <f>J50</f>
        <v>1.3640000000000001</v>
      </c>
      <c r="O50" s="22" t="s">
        <v>95</v>
      </c>
      <c r="P50" s="4"/>
      <c r="Q50" s="4"/>
      <c r="R50" s="51">
        <f>-N50</f>
        <v>-1.3640000000000001</v>
      </c>
      <c r="S50" s="4"/>
      <c r="T50" s="52">
        <f>-R50/$R$50</f>
        <v>-1</v>
      </c>
      <c r="U50" s="2">
        <f>R50/'Energy &amp; Unit Conversions'!$E$15</f>
        <v>-6.7880959490395146E-2</v>
      </c>
    </row>
    <row r="51" spans="3:33" x14ac:dyDescent="0.35">
      <c r="C51" t="s">
        <v>104</v>
      </c>
      <c r="F51" s="316">
        <v>0.157</v>
      </c>
      <c r="G51" t="s">
        <v>273</v>
      </c>
      <c r="J51">
        <f>F51*'Process Correlations'!D11</f>
        <v>0.157</v>
      </c>
      <c r="K51" t="s">
        <v>95</v>
      </c>
      <c r="N51" s="319">
        <f>J51</f>
        <v>0.157</v>
      </c>
      <c r="O51" t="s">
        <v>95</v>
      </c>
      <c r="U51" s="2"/>
    </row>
    <row r="52" spans="3:33" x14ac:dyDescent="0.35">
      <c r="C52" s="19" t="s">
        <v>29</v>
      </c>
      <c r="D52" s="7"/>
      <c r="E52" s="7"/>
      <c r="F52" s="345">
        <f>K62</f>
        <v>0.18</v>
      </c>
      <c r="G52" s="32" t="s">
        <v>38</v>
      </c>
      <c r="H52" s="7"/>
      <c r="I52" s="7"/>
      <c r="J52" s="33">
        <f>F52</f>
        <v>0.18</v>
      </c>
      <c r="K52" s="32" t="s">
        <v>38</v>
      </c>
      <c r="L52" s="7"/>
      <c r="M52" s="7"/>
      <c r="N52" s="85">
        <f>J52</f>
        <v>0.18</v>
      </c>
      <c r="O52" s="32" t="s">
        <v>38</v>
      </c>
      <c r="P52" s="7"/>
      <c r="Q52" s="7"/>
      <c r="R52" s="33">
        <f>N52*(N50+N51)</f>
        <v>0.27378000000000002</v>
      </c>
      <c r="S52" s="7"/>
      <c r="T52" s="94">
        <f>-R52/$R$50</f>
        <v>0.20071847507331378</v>
      </c>
      <c r="U52" s="2">
        <f>R52/'Energy &amp; Unit Conversions'!$E$15</f>
        <v>1.3624962675425501E-2</v>
      </c>
    </row>
    <row r="53" spans="3:33" x14ac:dyDescent="0.35">
      <c r="C53" s="28" t="s">
        <v>94</v>
      </c>
      <c r="F53" s="318">
        <v>1.2709999999999999</v>
      </c>
      <c r="G53" s="23" t="s">
        <v>98</v>
      </c>
      <c r="J53" s="2">
        <f>F53</f>
        <v>1.2709999999999999</v>
      </c>
      <c r="K53" s="23" t="s">
        <v>98</v>
      </c>
      <c r="N53" s="80">
        <f>J53</f>
        <v>1.2709999999999999</v>
      </c>
      <c r="O53" s="23" t="s">
        <v>98</v>
      </c>
      <c r="R53" s="2">
        <f>N53*K61+N51</f>
        <v>0.77978999999999998</v>
      </c>
      <c r="T53" s="66"/>
      <c r="U53" s="2">
        <f>R53/'Energy &amp; Unit Conversions'!$E$15</f>
        <v>3.8807106598984765E-2</v>
      </c>
    </row>
    <row r="54" spans="3:33" x14ac:dyDescent="0.35">
      <c r="C54" s="20" t="s">
        <v>30</v>
      </c>
      <c r="D54" s="12"/>
      <c r="E54" s="12"/>
      <c r="F54" s="313">
        <v>6.9489999999999998</v>
      </c>
      <c r="G54" s="23" t="s">
        <v>39</v>
      </c>
      <c r="H54" s="12"/>
      <c r="I54" s="12"/>
      <c r="J54" s="55">
        <f>F54*'Process Correlations'!D11</f>
        <v>6.9489999999999998</v>
      </c>
      <c r="K54" s="20" t="s">
        <v>98</v>
      </c>
      <c r="L54" s="12"/>
      <c r="M54" s="12"/>
      <c r="N54" s="46">
        <f>'Main Input &amp; Output'!D88</f>
        <v>6.9489999999999998</v>
      </c>
      <c r="O54" s="20" t="s">
        <v>98</v>
      </c>
      <c r="P54" s="12"/>
      <c r="Q54" s="12"/>
      <c r="R54" s="55">
        <f>N54*K61</f>
        <v>3.4050099999999999</v>
      </c>
      <c r="S54" s="12"/>
      <c r="T54" s="12"/>
      <c r="U54" s="2"/>
    </row>
    <row r="55" spans="3:33" x14ac:dyDescent="0.35">
      <c r="C55" s="20" t="s">
        <v>31</v>
      </c>
      <c r="D55" s="12"/>
      <c r="E55" s="12"/>
      <c r="F55" s="313">
        <v>22</v>
      </c>
      <c r="G55" s="23" t="s">
        <v>40</v>
      </c>
      <c r="H55" s="12"/>
      <c r="I55" s="12"/>
      <c r="J55" s="51" t="s">
        <v>399</v>
      </c>
      <c r="K55" s="20"/>
      <c r="L55" s="12"/>
      <c r="M55" s="12"/>
      <c r="N55" s="55"/>
      <c r="O55" s="20"/>
      <c r="P55" s="12"/>
      <c r="Q55" s="12"/>
      <c r="R55" s="55"/>
      <c r="S55" s="12"/>
      <c r="T55" s="12"/>
      <c r="U55" s="2"/>
      <c r="AB55" s="2"/>
      <c r="AC55" s="2"/>
      <c r="AD55" s="2"/>
      <c r="AE55" s="2"/>
      <c r="AF55" s="2"/>
      <c r="AG55" s="2"/>
    </row>
    <row r="56" spans="3:33" x14ac:dyDescent="0.35">
      <c r="C56" s="20" t="s">
        <v>32</v>
      </c>
      <c r="D56" s="12"/>
      <c r="E56" s="12"/>
      <c r="F56" s="313">
        <v>46</v>
      </c>
      <c r="G56" s="23" t="s">
        <v>40</v>
      </c>
      <c r="H56" s="12"/>
      <c r="I56" s="12"/>
      <c r="J56" s="55">
        <f>((F55+F56)*24/5056)*'Process Correlations'!D11</f>
        <v>0.32278481012658228</v>
      </c>
      <c r="K56" s="20" t="s">
        <v>98</v>
      </c>
      <c r="L56" s="12"/>
      <c r="M56" s="12"/>
      <c r="N56" s="46">
        <f>'Main Input &amp; Output'!D89</f>
        <v>0.322784810126582</v>
      </c>
      <c r="O56" s="20" t="s">
        <v>98</v>
      </c>
      <c r="P56" s="12"/>
      <c r="Q56" s="12"/>
      <c r="R56" s="55">
        <f>N56*K63</f>
        <v>8.06962025316455E-2</v>
      </c>
      <c r="S56" s="12"/>
      <c r="T56" s="12"/>
      <c r="U56" s="2"/>
      <c r="AB56" s="2"/>
      <c r="AC56" s="2"/>
      <c r="AD56" s="2"/>
      <c r="AE56" s="2"/>
      <c r="AF56" s="2"/>
      <c r="AG56" s="2"/>
    </row>
    <row r="57" spans="3:33" x14ac:dyDescent="0.35">
      <c r="C57" s="19" t="s">
        <v>68</v>
      </c>
      <c r="D57" s="7"/>
      <c r="E57" s="7"/>
      <c r="F57" s="8"/>
      <c r="G57" s="32"/>
      <c r="H57" s="7"/>
      <c r="I57" s="7"/>
      <c r="J57" s="33">
        <f>J56+J54</f>
        <v>7.2717848101265821</v>
      </c>
      <c r="K57" s="19"/>
      <c r="L57" s="7"/>
      <c r="M57" s="7"/>
      <c r="N57" s="85">
        <f>J57</f>
        <v>7.2717848101265821</v>
      </c>
      <c r="O57" s="7"/>
      <c r="P57" s="7"/>
      <c r="Q57" s="7"/>
      <c r="R57" s="33">
        <f>R56+R54+R53</f>
        <v>4.2654962025316454</v>
      </c>
      <c r="S57" s="7"/>
      <c r="T57" s="98">
        <f>-R57/$R$50</f>
        <v>3.127196629422027</v>
      </c>
      <c r="U57" s="2">
        <f>R57/'Energy &amp; Unit Conversions'!$E$15</f>
        <v>0.21227710772029687</v>
      </c>
      <c r="AB57" s="2"/>
      <c r="AC57" s="2"/>
      <c r="AD57" s="2"/>
      <c r="AF57" s="2"/>
      <c r="AG57" s="2"/>
    </row>
    <row r="58" spans="3:33" x14ac:dyDescent="0.35">
      <c r="C58" s="34" t="s">
        <v>73</v>
      </c>
      <c r="D58" s="35"/>
      <c r="E58" s="35"/>
      <c r="F58" s="321">
        <f>'Emission Factors'!S8</f>
        <v>1.36755726371863</v>
      </c>
      <c r="G58" s="49" t="s">
        <v>95</v>
      </c>
      <c r="H58" s="35"/>
      <c r="I58" s="35"/>
      <c r="J58" s="36">
        <f>F58</f>
        <v>1.36755726371863</v>
      </c>
      <c r="K58" s="49" t="s">
        <v>75</v>
      </c>
      <c r="L58" s="35"/>
      <c r="M58" s="35"/>
      <c r="N58" s="50">
        <f>J58</f>
        <v>1.36755726371863</v>
      </c>
      <c r="O58" s="49" t="s">
        <v>95</v>
      </c>
      <c r="P58" s="35"/>
      <c r="Q58" s="35"/>
      <c r="R58" s="36">
        <f>N58</f>
        <v>1.36755726371863</v>
      </c>
      <c r="S58" s="35"/>
      <c r="T58" s="104">
        <f>-R58/$R$50</f>
        <v>1.002607964603101</v>
      </c>
      <c r="U58" s="2">
        <f>R58/'Energy &amp; Unit Conversions'!$E$15</f>
        <v>6.805799062997063E-2</v>
      </c>
      <c r="AB58" s="2"/>
      <c r="AC58" s="2"/>
      <c r="AD58" s="2"/>
      <c r="AF58" s="2"/>
      <c r="AG58" s="2"/>
    </row>
    <row r="59" spans="3:33" x14ac:dyDescent="0.35">
      <c r="C59" s="34" t="s">
        <v>33</v>
      </c>
      <c r="D59" s="35"/>
      <c r="E59" s="35"/>
      <c r="F59" s="35"/>
      <c r="G59" s="35"/>
      <c r="H59" s="35"/>
      <c r="I59" s="35"/>
      <c r="J59" s="35"/>
      <c r="K59" s="35"/>
      <c r="L59" s="35"/>
      <c r="M59" s="35"/>
      <c r="N59" s="35"/>
      <c r="O59" s="35"/>
      <c r="P59" s="35"/>
      <c r="Q59" s="35"/>
      <c r="R59" s="36">
        <f>R50+R52+R57+R58</f>
        <v>4.5428334662502756</v>
      </c>
      <c r="S59" s="35"/>
      <c r="T59" s="105">
        <f>SUM(T50:T58)</f>
        <v>3.330523069098442</v>
      </c>
      <c r="U59" s="2">
        <f>SUM(U50:U58)</f>
        <v>0.2648862081342826</v>
      </c>
      <c r="AB59" s="2"/>
      <c r="AC59" s="2"/>
      <c r="AD59" s="2"/>
      <c r="AE59" s="2"/>
      <c r="AF59" s="2"/>
      <c r="AG59" s="2"/>
    </row>
    <row r="60" spans="3:33" x14ac:dyDescent="0.35">
      <c r="J60" s="12"/>
      <c r="K60" s="12"/>
      <c r="AB60" s="2"/>
      <c r="AC60" s="2"/>
      <c r="AD60" s="2"/>
      <c r="AE60" s="2"/>
      <c r="AF60" s="2"/>
      <c r="AG60" s="2"/>
    </row>
    <row r="61" spans="3:33" x14ac:dyDescent="0.35">
      <c r="C61" s="28" t="s">
        <v>81</v>
      </c>
      <c r="I61" s="43">
        <f>K11</f>
        <v>2</v>
      </c>
      <c r="J61" s="58" t="str">
        <f>VLOOKUP(I61,'Emission Factors'!B6:C8,2,FALSE)</f>
        <v>Natural gas</v>
      </c>
      <c r="K61" s="12">
        <f>VLOOKUP(I61,'Emission Factors'!F6:G8,2,FALSE)</f>
        <v>0.49</v>
      </c>
      <c r="AB61" s="2"/>
      <c r="AC61" s="2"/>
      <c r="AD61" s="2"/>
      <c r="AE61" s="2"/>
      <c r="AF61" s="2"/>
      <c r="AG61" s="2"/>
    </row>
    <row r="62" spans="3:33" x14ac:dyDescent="0.35">
      <c r="C62" s="28" t="s">
        <v>15</v>
      </c>
      <c r="I62" s="43">
        <f>Y11</f>
        <v>2</v>
      </c>
      <c r="J62" s="24" t="str">
        <f>VLOOKUP(I62,'Emission Factors'!B34:C36,2,FALSE)</f>
        <v>Natural gas power plant</v>
      </c>
      <c r="K62">
        <f>VLOOKUP(I62,'Emission Factors'!F34:G36,2,FALSE)</f>
        <v>0.18</v>
      </c>
      <c r="AB62" s="2"/>
      <c r="AC62" s="2"/>
      <c r="AD62" s="2"/>
      <c r="AE62" s="2"/>
      <c r="AF62" s="2"/>
      <c r="AG62" s="2"/>
    </row>
    <row r="63" spans="3:33" x14ac:dyDescent="0.35">
      <c r="C63" s="28" t="s">
        <v>9</v>
      </c>
      <c r="I63" s="43">
        <f>O11</f>
        <v>2</v>
      </c>
      <c r="J63" t="str">
        <f>VLOOKUP(I63,'Emission Factors'!B20:C22,2,FALSE)</f>
        <v>Natural gas industrial furnace</v>
      </c>
      <c r="K63">
        <f>VLOOKUP(I63,'Emission Factors'!F20:G22,2,FALSE)</f>
        <v>0.25</v>
      </c>
      <c r="AB63" s="2"/>
      <c r="AE63" s="2"/>
      <c r="AF63" s="2"/>
      <c r="AG63" s="2"/>
    </row>
    <row r="65" spans="3:21" x14ac:dyDescent="0.35">
      <c r="C65" s="41" t="s">
        <v>44</v>
      </c>
      <c r="D65" s="40" t="s">
        <v>55</v>
      </c>
      <c r="E65" s="39"/>
      <c r="F65" s="39"/>
      <c r="G65" s="39" t="s">
        <v>379</v>
      </c>
      <c r="H65" s="39" t="s">
        <v>449</v>
      </c>
      <c r="I65" s="39"/>
      <c r="J65" s="39"/>
      <c r="K65" s="39"/>
      <c r="L65" s="39"/>
      <c r="M65" s="39"/>
      <c r="N65" s="39"/>
      <c r="O65" s="39"/>
      <c r="P65" s="39"/>
      <c r="Q65" s="39"/>
      <c r="R65" s="39"/>
      <c r="S65" s="39"/>
      <c r="T65" s="39"/>
    </row>
    <row r="66" spans="3:21" x14ac:dyDescent="0.35">
      <c r="F66" t="s">
        <v>36</v>
      </c>
      <c r="J66" t="s">
        <v>41</v>
      </c>
      <c r="N66" t="s">
        <v>57</v>
      </c>
    </row>
    <row r="67" spans="3:21" x14ac:dyDescent="0.35">
      <c r="C67" t="s">
        <v>27</v>
      </c>
      <c r="F67" t="s">
        <v>34</v>
      </c>
      <c r="G67" t="s">
        <v>35</v>
      </c>
      <c r="J67" s="12" t="s">
        <v>34</v>
      </c>
      <c r="K67" t="s">
        <v>35</v>
      </c>
      <c r="N67" s="12" t="s">
        <v>34</v>
      </c>
      <c r="O67" t="s">
        <v>35</v>
      </c>
      <c r="R67" s="37" t="s">
        <v>597</v>
      </c>
      <c r="T67" s="37" t="s">
        <v>598</v>
      </c>
      <c r="U67" t="s">
        <v>601</v>
      </c>
    </row>
    <row r="68" spans="3:21" x14ac:dyDescent="0.35">
      <c r="C68" s="18" t="s">
        <v>28</v>
      </c>
      <c r="D68" s="4"/>
      <c r="E68" s="4"/>
      <c r="F68" s="309">
        <v>1.3640000000000001</v>
      </c>
      <c r="G68" s="22" t="s">
        <v>37</v>
      </c>
      <c r="H68" s="4"/>
      <c r="I68" s="4"/>
      <c r="J68" s="51">
        <f>F68*'Process Correlations'!D13</f>
        <v>3.1372</v>
      </c>
      <c r="K68" s="22" t="s">
        <v>102</v>
      </c>
      <c r="L68" s="4"/>
      <c r="M68" s="4"/>
      <c r="N68" s="331">
        <f>J68</f>
        <v>3.1372</v>
      </c>
      <c r="O68" s="22" t="s">
        <v>102</v>
      </c>
      <c r="P68" s="4"/>
      <c r="Q68" s="4"/>
      <c r="R68" s="51">
        <f>-N68</f>
        <v>-3.1372</v>
      </c>
      <c r="S68" s="4"/>
      <c r="T68" s="52">
        <f>-R68/$R$68</f>
        <v>-1</v>
      </c>
      <c r="U68" s="2">
        <f>R68/'Energy &amp; Unit Conversions'!$E$14</f>
        <v>-7.2541447961708333E-2</v>
      </c>
    </row>
    <row r="69" spans="3:21" x14ac:dyDescent="0.35">
      <c r="C69" t="s">
        <v>104</v>
      </c>
      <c r="F69" s="316">
        <v>0.157</v>
      </c>
      <c r="G69" t="s">
        <v>37</v>
      </c>
      <c r="J69" s="2">
        <f>F69*'Process Correlations'!D13</f>
        <v>0.36109999999999998</v>
      </c>
      <c r="K69" t="s">
        <v>102</v>
      </c>
      <c r="N69" s="343">
        <f>J69</f>
        <v>0.36109999999999998</v>
      </c>
      <c r="O69" t="s">
        <v>102</v>
      </c>
      <c r="U69" s="2"/>
    </row>
    <row r="70" spans="3:21" x14ac:dyDescent="0.35">
      <c r="C70" s="19" t="s">
        <v>29</v>
      </c>
      <c r="D70" s="7"/>
      <c r="E70" s="7"/>
      <c r="F70" s="345">
        <f>K81</f>
        <v>0.18</v>
      </c>
      <c r="G70" s="32" t="s">
        <v>38</v>
      </c>
      <c r="H70" s="7"/>
      <c r="I70" s="7"/>
      <c r="J70" s="33">
        <f>F70</f>
        <v>0.18</v>
      </c>
      <c r="K70" s="32" t="s">
        <v>38</v>
      </c>
      <c r="L70" s="7"/>
      <c r="M70" s="7"/>
      <c r="N70" s="85">
        <f>J70</f>
        <v>0.18</v>
      </c>
      <c r="O70" s="32" t="s">
        <v>38</v>
      </c>
      <c r="P70" s="7"/>
      <c r="Q70" s="7"/>
      <c r="R70" s="33">
        <f>N70*(N68+N69)</f>
        <v>0.62969399999999998</v>
      </c>
      <c r="S70" s="7"/>
      <c r="T70" s="94">
        <f>-R70/$R$68</f>
        <v>0.20071847507331378</v>
      </c>
      <c r="U70" s="2">
        <f>R70/'Energy &amp; Unit Conversions'!$E$14</f>
        <v>1.4560408814484241E-2</v>
      </c>
    </row>
    <row r="71" spans="3:21" x14ac:dyDescent="0.35">
      <c r="C71" s="20" t="s">
        <v>30</v>
      </c>
      <c r="F71" s="313">
        <v>6.9489999999999998</v>
      </c>
      <c r="G71" s="23" t="s">
        <v>39</v>
      </c>
      <c r="J71" s="2">
        <f>F71*'Process Correlations'!D13</f>
        <v>15.982699999999998</v>
      </c>
      <c r="K71" s="20" t="s">
        <v>103</v>
      </c>
      <c r="N71" s="65">
        <f>'Main Input &amp; Output'!D93</f>
        <v>15.982699999999999</v>
      </c>
      <c r="O71" s="20" t="s">
        <v>103</v>
      </c>
      <c r="R71" s="2">
        <f>N71*K80</f>
        <v>7.8315229999999998</v>
      </c>
      <c r="T71" s="2"/>
      <c r="U71" s="2"/>
    </row>
    <row r="72" spans="3:21" x14ac:dyDescent="0.35">
      <c r="C72" s="20" t="s">
        <v>31</v>
      </c>
      <c r="F72" s="313">
        <v>22</v>
      </c>
      <c r="G72" s="23" t="s">
        <v>40</v>
      </c>
      <c r="J72" s="2"/>
      <c r="K72" s="20"/>
      <c r="N72" s="2"/>
      <c r="O72" s="20"/>
      <c r="R72" s="2"/>
      <c r="T72" s="2"/>
      <c r="U72" s="2"/>
    </row>
    <row r="73" spans="3:21" x14ac:dyDescent="0.35">
      <c r="C73" s="20" t="s">
        <v>32</v>
      </c>
      <c r="F73" s="313">
        <v>46</v>
      </c>
      <c r="G73" s="23" t="s">
        <v>40</v>
      </c>
      <c r="J73" s="2">
        <f>((F72+F73)*24/5056)*'Process Correlations'!D13</f>
        <v>0.7424050632911392</v>
      </c>
      <c r="K73" s="20" t="s">
        <v>103</v>
      </c>
      <c r="N73" s="65">
        <f>'Main Input &amp; Output'!D94</f>
        <v>0.74240506329113898</v>
      </c>
      <c r="O73" s="20" t="s">
        <v>103</v>
      </c>
      <c r="R73" s="2">
        <f>N73*K102</f>
        <v>0.18560126582278474</v>
      </c>
      <c r="T73" s="2"/>
      <c r="U73" s="2"/>
    </row>
    <row r="74" spans="3:21" hidden="1" x14ac:dyDescent="0.35">
      <c r="C74" s="20"/>
      <c r="F74" s="313"/>
      <c r="G74" s="23"/>
      <c r="J74" s="2"/>
      <c r="K74" s="20"/>
      <c r="N74" s="2"/>
      <c r="O74" s="20"/>
      <c r="T74" s="2"/>
      <c r="U74" s="2"/>
    </row>
    <row r="75" spans="3:21" x14ac:dyDescent="0.35">
      <c r="C75" s="20" t="s">
        <v>101</v>
      </c>
      <c r="D75" s="12"/>
      <c r="E75" s="12"/>
      <c r="F75" s="329">
        <v>1.3</v>
      </c>
      <c r="G75" s="12" t="s">
        <v>102</v>
      </c>
      <c r="H75" s="12"/>
      <c r="I75" s="12"/>
      <c r="J75" s="55">
        <f>F75</f>
        <v>1.3</v>
      </c>
      <c r="K75" s="12" t="s">
        <v>102</v>
      </c>
      <c r="L75" s="12"/>
      <c r="M75" s="12"/>
      <c r="N75" s="2">
        <f>J75</f>
        <v>1.3</v>
      </c>
      <c r="O75" s="12" t="s">
        <v>102</v>
      </c>
      <c r="P75" s="12"/>
      <c r="Q75" s="12"/>
      <c r="R75" s="55">
        <f>N75</f>
        <v>1.3</v>
      </c>
      <c r="S75" s="12"/>
      <c r="T75" s="66"/>
      <c r="U75" s="2"/>
    </row>
    <row r="76" spans="3:21" x14ac:dyDescent="0.35">
      <c r="C76" s="21" t="s">
        <v>68</v>
      </c>
      <c r="D76" s="89"/>
      <c r="E76" s="89"/>
      <c r="F76" s="411"/>
      <c r="G76" s="89"/>
      <c r="H76" s="89"/>
      <c r="I76" s="89"/>
      <c r="J76" s="89"/>
      <c r="K76" s="89"/>
      <c r="L76" s="89"/>
      <c r="M76" s="89"/>
      <c r="N76" s="66"/>
      <c r="O76" s="89"/>
      <c r="P76" s="89"/>
      <c r="Q76" s="89"/>
      <c r="R76" s="85">
        <f>R71+R73+R75+N69</f>
        <v>9.6782242658227862</v>
      </c>
      <c r="S76" s="89"/>
      <c r="T76" s="127">
        <f>-R76/R68</f>
        <v>3.0849879720205236</v>
      </c>
      <c r="U76" s="2">
        <f>R76/'Energy &amp; Unit Conversions'!$E$14</f>
        <v>0.22378949443482291</v>
      </c>
    </row>
    <row r="77" spans="3:21" x14ac:dyDescent="0.35">
      <c r="C77" s="34" t="s">
        <v>73</v>
      </c>
      <c r="D77" s="35"/>
      <c r="E77" s="35"/>
      <c r="F77" s="320">
        <f>'Emission Factors'!S9</f>
        <v>3.11</v>
      </c>
      <c r="G77" s="53" t="s">
        <v>102</v>
      </c>
      <c r="H77" s="35"/>
      <c r="I77" s="35"/>
      <c r="J77" s="35">
        <f>F77</f>
        <v>3.11</v>
      </c>
      <c r="K77" s="53" t="s">
        <v>102</v>
      </c>
      <c r="L77" s="35"/>
      <c r="M77" s="35"/>
      <c r="N77" s="35">
        <f>J77</f>
        <v>3.11</v>
      </c>
      <c r="O77" s="53" t="s">
        <v>102</v>
      </c>
      <c r="P77" s="35"/>
      <c r="Q77" s="35"/>
      <c r="R77" s="35">
        <f>N77</f>
        <v>3.11</v>
      </c>
      <c r="S77" s="35"/>
      <c r="T77" s="104">
        <f>-R77/$R$68</f>
        <v>0.99132984827234472</v>
      </c>
      <c r="U77" s="2">
        <f>R77/'Energy &amp; Unit Conversions'!$E$14</f>
        <v>7.1912502601336512E-2</v>
      </c>
    </row>
    <row r="78" spans="3:21" x14ac:dyDescent="0.35">
      <c r="C78" s="34" t="s">
        <v>33</v>
      </c>
      <c r="D78" s="35"/>
      <c r="E78" s="35"/>
      <c r="F78" s="35"/>
      <c r="G78" s="35"/>
      <c r="H78" s="35"/>
      <c r="I78" s="35"/>
      <c r="J78" s="35"/>
      <c r="K78" s="35"/>
      <c r="L78" s="35"/>
      <c r="M78" s="35"/>
      <c r="N78" s="35"/>
      <c r="O78" s="35"/>
      <c r="P78" s="35"/>
      <c r="Q78" s="35"/>
      <c r="R78" s="36">
        <f>R68+R70+R76+R77</f>
        <v>10.280718265822786</v>
      </c>
      <c r="S78" s="35"/>
      <c r="T78" s="103">
        <f>SUM(T68:T77)</f>
        <v>3.277036295366182</v>
      </c>
      <c r="U78" s="2">
        <f>SUM(U68:U77)</f>
        <v>0.23772095788893532</v>
      </c>
    </row>
    <row r="80" spans="3:21" x14ac:dyDescent="0.35">
      <c r="C80" s="28" t="s">
        <v>81</v>
      </c>
      <c r="I80" s="43">
        <f>K11</f>
        <v>2</v>
      </c>
      <c r="J80" s="58" t="str">
        <f>VLOOKUP(I80,'Emission Factors'!B6:C8,2,FALSE)</f>
        <v>Natural gas</v>
      </c>
      <c r="K80" s="12">
        <f>VLOOKUP(I80,'Emission Factors'!F6:G8,2,FALSE)</f>
        <v>0.49</v>
      </c>
      <c r="Q80" s="2"/>
    </row>
    <row r="81" spans="3:20" x14ac:dyDescent="0.35">
      <c r="C81" s="28" t="s">
        <v>15</v>
      </c>
      <c r="I81" s="43">
        <f>Y11</f>
        <v>2</v>
      </c>
      <c r="J81" s="24" t="str">
        <f>VLOOKUP(I81,'Emission Factors'!B34:C36,2,FALSE)</f>
        <v>Natural gas power plant</v>
      </c>
      <c r="K81">
        <f>VLOOKUP(I81,'Emission Factors'!F34:G36,2,FALSE)</f>
        <v>0.18</v>
      </c>
    </row>
    <row r="82" spans="3:20" hidden="1" x14ac:dyDescent="0.35">
      <c r="I82" s="43">
        <f>O11</f>
        <v>2</v>
      </c>
      <c r="J82" s="24"/>
    </row>
    <row r="83" spans="3:20" hidden="1" x14ac:dyDescent="0.35">
      <c r="I83" s="43"/>
      <c r="J83" s="24"/>
    </row>
    <row r="84" spans="3:20" hidden="1" x14ac:dyDescent="0.35">
      <c r="C84" s="41" t="s">
        <v>44</v>
      </c>
      <c r="D84" s="39" t="s">
        <v>92</v>
      </c>
      <c r="E84" s="39"/>
      <c r="F84" s="39"/>
      <c r="G84" s="39"/>
      <c r="H84" s="39"/>
      <c r="I84" s="43"/>
      <c r="J84" s="24"/>
      <c r="K84" s="39"/>
      <c r="L84" s="39"/>
      <c r="M84" s="39"/>
      <c r="N84" s="39"/>
      <c r="O84" s="39"/>
      <c r="P84" s="39"/>
      <c r="Q84" s="39"/>
      <c r="R84" s="39"/>
      <c r="S84" s="39"/>
      <c r="T84" s="39"/>
    </row>
    <row r="85" spans="3:20" hidden="1" x14ac:dyDescent="0.35">
      <c r="I85" s="43"/>
      <c r="J85" s="24"/>
    </row>
    <row r="86" spans="3:20" hidden="1" x14ac:dyDescent="0.35">
      <c r="C86" t="s">
        <v>27</v>
      </c>
      <c r="I86" s="43"/>
      <c r="J86" s="24"/>
    </row>
    <row r="87" spans="3:20" hidden="1" x14ac:dyDescent="0.35">
      <c r="C87" s="18" t="s">
        <v>28</v>
      </c>
      <c r="I87" s="43"/>
      <c r="J87" s="24"/>
    </row>
    <row r="88" spans="3:20" hidden="1" x14ac:dyDescent="0.35">
      <c r="I88" s="43"/>
      <c r="J88" s="24"/>
    </row>
    <row r="89" spans="3:20" hidden="1" x14ac:dyDescent="0.35">
      <c r="C89" s="19" t="s">
        <v>29</v>
      </c>
      <c r="I89" s="43"/>
      <c r="J89" s="24"/>
    </row>
    <row r="90" spans="3:20" hidden="1" x14ac:dyDescent="0.35">
      <c r="C90" s="20" t="s">
        <v>30</v>
      </c>
      <c r="I90" s="43"/>
      <c r="J90" s="24"/>
    </row>
    <row r="91" spans="3:20" hidden="1" x14ac:dyDescent="0.35">
      <c r="C91" s="28" t="s">
        <v>69</v>
      </c>
      <c r="I91" s="43"/>
      <c r="J91" s="24"/>
    </row>
    <row r="92" spans="3:20" hidden="1" x14ac:dyDescent="0.35">
      <c r="C92" s="20" t="s">
        <v>31</v>
      </c>
      <c r="I92" s="43"/>
      <c r="J92" s="24"/>
    </row>
    <row r="93" spans="3:20" hidden="1" x14ac:dyDescent="0.35">
      <c r="C93" s="20" t="s">
        <v>32</v>
      </c>
      <c r="I93" s="43"/>
      <c r="J93" s="24"/>
    </row>
    <row r="94" spans="3:20" hidden="1" x14ac:dyDescent="0.35">
      <c r="C94" s="19" t="s">
        <v>68</v>
      </c>
      <c r="I94" s="43"/>
      <c r="J94" s="24"/>
    </row>
    <row r="95" spans="3:20" hidden="1" x14ac:dyDescent="0.35">
      <c r="C95" s="21" t="s">
        <v>72</v>
      </c>
      <c r="I95" s="43"/>
      <c r="J95" s="24"/>
    </row>
    <row r="96" spans="3:20" hidden="1" x14ac:dyDescent="0.35">
      <c r="C96" s="34" t="s">
        <v>73</v>
      </c>
      <c r="I96" s="43"/>
      <c r="J96" s="24"/>
    </row>
    <row r="97" spans="2:39" hidden="1" x14ac:dyDescent="0.35">
      <c r="C97" s="21" t="s">
        <v>33</v>
      </c>
      <c r="I97" s="43"/>
      <c r="J97" s="24"/>
    </row>
    <row r="98" spans="2:39" hidden="1" x14ac:dyDescent="0.35">
      <c r="I98" s="43"/>
      <c r="J98" s="24"/>
    </row>
    <row r="99" spans="2:39" hidden="1" x14ac:dyDescent="0.35">
      <c r="C99" s="28" t="s">
        <v>81</v>
      </c>
      <c r="I99" s="43"/>
      <c r="J99" s="24" t="str">
        <f>L11</f>
        <v>Natural gas</v>
      </c>
      <c r="K99">
        <f>VLOOKUP(J99,'Emission Factors'!C6:G8,5,FALSE)</f>
        <v>0.49</v>
      </c>
    </row>
    <row r="100" spans="2:39" hidden="1" x14ac:dyDescent="0.35">
      <c r="C100" s="28" t="s">
        <v>15</v>
      </c>
      <c r="I100" s="43"/>
      <c r="J100" s="24">
        <f>Y11</f>
        <v>2</v>
      </c>
      <c r="K100" t="e">
        <f>VLOOKUP(J100,'Emission Factors'!C34:G36,5,FALSE)</f>
        <v>#N/A</v>
      </c>
    </row>
    <row r="101" spans="2:39" hidden="1" x14ac:dyDescent="0.35">
      <c r="I101" s="43"/>
      <c r="J101" s="24"/>
    </row>
    <row r="102" spans="2:39" x14ac:dyDescent="0.35">
      <c r="C102" s="28" t="s">
        <v>9</v>
      </c>
      <c r="I102" s="43">
        <f>O11</f>
        <v>2</v>
      </c>
      <c r="J102" s="24" t="str">
        <f>VLOOKUP(I102,'Emission Factors'!B20:C22,2,FALSE)</f>
        <v>Natural gas industrial furnace</v>
      </c>
      <c r="K102">
        <f>VLOOKUP(I102,'Emission Factors'!F20:G22,2,FALSE)</f>
        <v>0.25</v>
      </c>
    </row>
    <row r="103" spans="2:39" x14ac:dyDescent="0.35">
      <c r="B103" s="16" t="s">
        <v>46</v>
      </c>
      <c r="C103" s="15"/>
      <c r="D103" s="16" t="s">
        <v>52</v>
      </c>
      <c r="E103" s="15"/>
      <c r="F103" s="15"/>
      <c r="G103" s="15"/>
      <c r="H103" s="15"/>
      <c r="I103" s="15"/>
      <c r="J103" s="15"/>
      <c r="K103" s="15"/>
      <c r="L103" s="15"/>
      <c r="M103" s="15"/>
      <c r="N103" s="15"/>
      <c r="O103" s="15"/>
      <c r="P103" s="15"/>
      <c r="Q103" s="15"/>
      <c r="R103" s="15"/>
      <c r="S103" s="15"/>
      <c r="T103" s="15"/>
    </row>
    <row r="105" spans="2:39" x14ac:dyDescent="0.35">
      <c r="C105" s="41" t="s">
        <v>44</v>
      </c>
      <c r="D105" s="40" t="s">
        <v>51</v>
      </c>
      <c r="E105" s="40"/>
      <c r="F105" s="40"/>
      <c r="G105" s="237" t="s">
        <v>379</v>
      </c>
      <c r="H105" s="237" t="s">
        <v>382</v>
      </c>
      <c r="I105" s="40"/>
      <c r="J105" s="40"/>
      <c r="K105" s="40"/>
      <c r="L105" s="40"/>
      <c r="M105" s="40"/>
      <c r="N105" s="40"/>
      <c r="O105" s="40"/>
      <c r="P105" s="40"/>
      <c r="Q105" s="40"/>
      <c r="R105" s="40"/>
      <c r="S105" s="40"/>
      <c r="T105" s="40"/>
      <c r="W105" t="s">
        <v>125</v>
      </c>
      <c r="Z105" s="492" t="s">
        <v>598</v>
      </c>
      <c r="AA105" s="492"/>
      <c r="AB105" s="493"/>
      <c r="AC105" s="494" t="s">
        <v>618</v>
      </c>
      <c r="AD105" s="492"/>
      <c r="AE105" s="493"/>
      <c r="AF105" s="494" t="s">
        <v>597</v>
      </c>
      <c r="AG105" s="492"/>
      <c r="AH105" s="493"/>
      <c r="AL105" s="37"/>
    </row>
    <row r="106" spans="2:39" x14ac:dyDescent="0.35">
      <c r="F106" t="s">
        <v>36</v>
      </c>
      <c r="J106" t="s">
        <v>41</v>
      </c>
      <c r="N106" t="s">
        <v>57</v>
      </c>
      <c r="Z106" s="109" t="s">
        <v>213</v>
      </c>
      <c r="AA106" s="109" t="s">
        <v>214</v>
      </c>
      <c r="AB106" s="112" t="s">
        <v>215</v>
      </c>
      <c r="AC106" s="69" t="s">
        <v>213</v>
      </c>
      <c r="AD106" s="109" t="s">
        <v>214</v>
      </c>
      <c r="AE106" s="112" t="s">
        <v>215</v>
      </c>
      <c r="AF106" s="69" t="s">
        <v>213</v>
      </c>
      <c r="AG106" s="109" t="s">
        <v>214</v>
      </c>
      <c r="AH106" s="112" t="s">
        <v>215</v>
      </c>
      <c r="AK106" t="s">
        <v>212</v>
      </c>
    </row>
    <row r="107" spans="2:39" x14ac:dyDescent="0.35">
      <c r="C107" t="s">
        <v>27</v>
      </c>
      <c r="F107" t="s">
        <v>34</v>
      </c>
      <c r="G107" t="s">
        <v>35</v>
      </c>
      <c r="J107" s="12" t="s">
        <v>34</v>
      </c>
      <c r="K107" t="s">
        <v>35</v>
      </c>
      <c r="N107" s="12" t="s">
        <v>34</v>
      </c>
      <c r="O107" t="s">
        <v>35</v>
      </c>
      <c r="R107" s="37" t="s">
        <v>597</v>
      </c>
      <c r="T107" s="37" t="s">
        <v>598</v>
      </c>
      <c r="U107" t="s">
        <v>601</v>
      </c>
      <c r="W107" t="s">
        <v>553</v>
      </c>
      <c r="Z107" s="113">
        <v>5.3929999999999998</v>
      </c>
      <c r="AA107" s="113">
        <v>0.26200000000000001</v>
      </c>
      <c r="AB107" s="114">
        <v>9.3309999999999995</v>
      </c>
      <c r="AC107" s="115">
        <v>0.29699999999999999</v>
      </c>
      <c r="AD107" s="116">
        <v>1.4E-2</v>
      </c>
      <c r="AE107" s="117">
        <v>0.51300000000000001</v>
      </c>
      <c r="AF107" s="118">
        <v>14.83</v>
      </c>
      <c r="AG107" s="58">
        <v>0.72099999999999997</v>
      </c>
      <c r="AH107" s="117">
        <v>25.66</v>
      </c>
      <c r="AI107" s="24"/>
      <c r="AM107" t="s">
        <v>145</v>
      </c>
    </row>
    <row r="108" spans="2:39" x14ac:dyDescent="0.35">
      <c r="C108" s="18" t="s">
        <v>28</v>
      </c>
      <c r="D108" s="4"/>
      <c r="E108" s="4"/>
      <c r="F108" s="323">
        <v>2.75</v>
      </c>
      <c r="G108" s="4" t="s">
        <v>603</v>
      </c>
      <c r="H108" s="4"/>
      <c r="I108" s="4"/>
      <c r="J108" s="4">
        <f>F108</f>
        <v>2.75</v>
      </c>
      <c r="K108" s="4" t="s">
        <v>605</v>
      </c>
      <c r="L108" s="4"/>
      <c r="M108" s="4"/>
      <c r="N108" s="326">
        <f>J108</f>
        <v>2.75</v>
      </c>
      <c r="O108" s="4" t="s">
        <v>605</v>
      </c>
      <c r="P108" s="4"/>
      <c r="Q108" s="4"/>
      <c r="R108" s="4">
        <f>-N108</f>
        <v>-2.75</v>
      </c>
      <c r="S108" s="4"/>
      <c r="T108" s="52">
        <f>-R108/$R$108</f>
        <v>-1</v>
      </c>
      <c r="U108" s="2">
        <f>R108/'Energy &amp; Unit Conversions'!$E$10</f>
        <v>-5.5E-2</v>
      </c>
      <c r="W108" t="s">
        <v>126</v>
      </c>
      <c r="Z108" s="113">
        <v>4.3</v>
      </c>
      <c r="AA108" s="113">
        <v>0.2</v>
      </c>
      <c r="AB108" s="114">
        <v>7.5</v>
      </c>
      <c r="AC108" s="115">
        <v>0.221</v>
      </c>
      <c r="AD108" s="116">
        <v>1.2E-2</v>
      </c>
      <c r="AE108" s="117">
        <v>0.38800000000000001</v>
      </c>
      <c r="AF108" s="118">
        <v>11.07</v>
      </c>
      <c r="AG108" s="58">
        <v>0.62</v>
      </c>
      <c r="AH108" s="117">
        <v>19.38</v>
      </c>
      <c r="AI108" s="24"/>
      <c r="AM108" t="s">
        <v>151</v>
      </c>
    </row>
    <row r="109" spans="2:39" x14ac:dyDescent="0.35">
      <c r="C109" s="12" t="s">
        <v>104</v>
      </c>
      <c r="D109" s="12"/>
      <c r="E109" s="12"/>
      <c r="F109" s="324">
        <v>0.30599999999999999</v>
      </c>
      <c r="G109" s="12" t="s">
        <v>603</v>
      </c>
      <c r="H109" s="12"/>
      <c r="I109" s="12"/>
      <c r="J109" s="55">
        <f>F109</f>
        <v>0.30599999999999999</v>
      </c>
      <c r="K109" s="12" t="s">
        <v>605</v>
      </c>
      <c r="L109" s="12"/>
      <c r="M109" s="12"/>
      <c r="N109" s="330">
        <f>J109</f>
        <v>0.30599999999999999</v>
      </c>
      <c r="O109" s="12" t="s">
        <v>605</v>
      </c>
      <c r="P109" s="12"/>
      <c r="Q109" s="12"/>
      <c r="R109" s="12"/>
      <c r="S109" s="12"/>
      <c r="T109" s="55"/>
      <c r="U109" s="2"/>
      <c r="W109" t="s">
        <v>127</v>
      </c>
      <c r="Z109" s="113">
        <v>4.0599999999999996</v>
      </c>
      <c r="AA109" s="113">
        <v>0.26</v>
      </c>
      <c r="AB109" s="114">
        <v>7.11</v>
      </c>
      <c r="AC109" s="115">
        <v>0.20899999999999999</v>
      </c>
      <c r="AD109" s="116">
        <v>1.7000000000000001E-2</v>
      </c>
      <c r="AE109" s="117">
        <v>0.36399999999999999</v>
      </c>
      <c r="AF109" s="118">
        <v>10.47</v>
      </c>
      <c r="AG109" s="58">
        <v>0.85</v>
      </c>
      <c r="AH109" s="117">
        <v>18.2</v>
      </c>
      <c r="AI109" s="24"/>
      <c r="AM109" t="s">
        <v>150</v>
      </c>
    </row>
    <row r="110" spans="2:39" x14ac:dyDescent="0.35">
      <c r="C110" s="19" t="s">
        <v>29</v>
      </c>
      <c r="D110" s="7"/>
      <c r="E110" s="7"/>
      <c r="F110" s="346">
        <f>K118</f>
        <v>0.18</v>
      </c>
      <c r="G110" s="32" t="s">
        <v>38</v>
      </c>
      <c r="H110" s="7"/>
      <c r="I110" s="7"/>
      <c r="J110" s="7">
        <f>F110</f>
        <v>0.18</v>
      </c>
      <c r="K110" s="32" t="s">
        <v>38</v>
      </c>
      <c r="L110" s="7"/>
      <c r="M110" s="7"/>
      <c r="N110" s="89">
        <f>J110</f>
        <v>0.18</v>
      </c>
      <c r="O110" s="32" t="s">
        <v>38</v>
      </c>
      <c r="P110" s="7"/>
      <c r="Q110" s="7"/>
      <c r="R110" s="33">
        <f>N110*(N108+N109)</f>
        <v>0.55008000000000001</v>
      </c>
      <c r="S110" s="7"/>
      <c r="T110" s="94">
        <f>-R110/$R$108</f>
        <v>0.20002909090909091</v>
      </c>
      <c r="U110" s="2">
        <f>R110/'Energy &amp; Unit Conversions'!$E$10</f>
        <v>1.10016E-2</v>
      </c>
      <c r="Z110" s="24"/>
      <c r="AA110" s="24"/>
      <c r="AB110" s="24"/>
      <c r="AC110" s="24"/>
      <c r="AD110" s="24"/>
      <c r="AE110" s="24"/>
      <c r="AF110" s="24"/>
      <c r="AG110" s="24"/>
      <c r="AH110" s="24"/>
      <c r="AI110" s="24"/>
    </row>
    <row r="111" spans="2:39" x14ac:dyDescent="0.35">
      <c r="C111" s="18" t="s">
        <v>106</v>
      </c>
      <c r="D111" s="4"/>
      <c r="E111" s="4"/>
      <c r="F111" s="326">
        <v>0.52</v>
      </c>
      <c r="G111" s="4" t="s">
        <v>604</v>
      </c>
      <c r="H111" s="4"/>
      <c r="I111" s="4"/>
      <c r="J111" s="4"/>
      <c r="K111" s="4"/>
      <c r="L111" s="4"/>
      <c r="M111" s="4"/>
      <c r="N111" s="4"/>
      <c r="O111" s="4"/>
      <c r="P111" s="4"/>
      <c r="Q111" s="4"/>
      <c r="R111" s="4"/>
      <c r="S111" s="4"/>
      <c r="T111" s="51"/>
      <c r="U111" s="2"/>
    </row>
    <row r="112" spans="2:39" x14ac:dyDescent="0.35">
      <c r="C112" s="21" t="s">
        <v>105</v>
      </c>
      <c r="D112" s="7"/>
      <c r="E112" s="7"/>
      <c r="F112" s="327">
        <v>41</v>
      </c>
      <c r="G112" s="7" t="s">
        <v>70</v>
      </c>
      <c r="H112" s="7"/>
      <c r="I112" s="7"/>
      <c r="J112" s="33">
        <f>F112*F111</f>
        <v>21.32</v>
      </c>
      <c r="K112" s="7" t="s">
        <v>254</v>
      </c>
      <c r="L112" s="7"/>
      <c r="M112" s="7"/>
      <c r="N112" s="45">
        <f>'Main Input &amp; Output'!D104</f>
        <v>21.32</v>
      </c>
      <c r="O112" s="7" t="s">
        <v>254</v>
      </c>
      <c r="P112" s="7"/>
      <c r="Q112" s="7"/>
      <c r="R112" s="33">
        <f>N112*K117</f>
        <v>10.4468</v>
      </c>
      <c r="S112" s="7"/>
      <c r="T112" s="101">
        <f>-R112/$R$108</f>
        <v>3.7988363636363633</v>
      </c>
      <c r="U112" s="2">
        <f>R112/'Energy &amp; Unit Conversions'!$E$10</f>
        <v>0.20893599999999998</v>
      </c>
    </row>
    <row r="113" spans="3:39" x14ac:dyDescent="0.35">
      <c r="C113" s="34" t="s">
        <v>72</v>
      </c>
      <c r="D113" s="35"/>
      <c r="E113" s="35"/>
      <c r="F113" s="328">
        <v>0.33500000000000002</v>
      </c>
      <c r="G113" s="35" t="s">
        <v>254</v>
      </c>
      <c r="H113" s="35"/>
      <c r="I113" s="35"/>
      <c r="J113" s="36">
        <f>F113</f>
        <v>0.33500000000000002</v>
      </c>
      <c r="K113" s="35" t="s">
        <v>254</v>
      </c>
      <c r="L113" s="35"/>
      <c r="M113" s="35"/>
      <c r="N113" s="71">
        <f>'Main Input &amp; Output'!D105</f>
        <v>0.33500000000000002</v>
      </c>
      <c r="O113" s="35" t="s">
        <v>254</v>
      </c>
      <c r="P113" s="35"/>
      <c r="Q113" s="35"/>
      <c r="R113" s="36">
        <f>N113*K117+N109</f>
        <v>0.47015000000000001</v>
      </c>
      <c r="S113" s="35"/>
      <c r="T113" s="99">
        <f>-R113/$R$108</f>
        <v>0.17096363636363637</v>
      </c>
      <c r="U113" s="2">
        <f>R113/'Energy &amp; Unit Conversions'!$E$10</f>
        <v>9.4029999999999999E-3</v>
      </c>
    </row>
    <row r="114" spans="3:39" x14ac:dyDescent="0.35">
      <c r="C114" s="34" t="s">
        <v>73</v>
      </c>
      <c r="D114" s="35"/>
      <c r="E114" s="35"/>
      <c r="F114" s="314">
        <f>'Emission Factors'!S7</f>
        <v>2.75</v>
      </c>
      <c r="G114" t="s">
        <v>605</v>
      </c>
      <c r="H114" s="35"/>
      <c r="I114" s="35"/>
      <c r="J114" s="36">
        <f>F114</f>
        <v>2.75</v>
      </c>
      <c r="K114" t="s">
        <v>252</v>
      </c>
      <c r="L114" s="35"/>
      <c r="M114" s="35"/>
      <c r="N114" s="36">
        <f>J114</f>
        <v>2.75</v>
      </c>
      <c r="O114" t="s">
        <v>605</v>
      </c>
      <c r="P114" s="35"/>
      <c r="Q114" s="35"/>
      <c r="R114" s="36">
        <f>N114</f>
        <v>2.75</v>
      </c>
      <c r="S114" s="35"/>
      <c r="T114" s="104">
        <f>-R114/$R$108</f>
        <v>1</v>
      </c>
      <c r="U114" s="2">
        <f>R114/'Energy &amp; Unit Conversions'!$E$10</f>
        <v>5.5E-2</v>
      </c>
    </row>
    <row r="115" spans="3:39" x14ac:dyDescent="0.35">
      <c r="C115" s="34" t="s">
        <v>33</v>
      </c>
      <c r="D115" s="35"/>
      <c r="E115" s="35"/>
      <c r="F115" s="35"/>
      <c r="G115" s="35"/>
      <c r="H115" s="35"/>
      <c r="I115" s="35"/>
      <c r="J115" s="35"/>
      <c r="K115" s="35"/>
      <c r="L115" s="35"/>
      <c r="M115" s="35"/>
      <c r="N115" s="35"/>
      <c r="O115" s="35"/>
      <c r="P115" s="35"/>
      <c r="Q115" s="35"/>
      <c r="R115" s="36">
        <f>SUM(R108:R114)</f>
        <v>11.467029999999999</v>
      </c>
      <c r="S115" s="35"/>
      <c r="T115" s="103">
        <f>SUM(T108:T114)</f>
        <v>4.16982909090909</v>
      </c>
      <c r="U115" s="2">
        <f>SUM(U108:U114)</f>
        <v>0.22934059999999998</v>
      </c>
    </row>
    <row r="117" spans="3:39" x14ac:dyDescent="0.35">
      <c r="C117" s="28" t="s">
        <v>81</v>
      </c>
      <c r="I117" s="43">
        <f>K11</f>
        <v>2</v>
      </c>
      <c r="J117" s="58" t="str">
        <f>VLOOKUP(I117,'Emission Factors'!B6:C8,2,FALSE)</f>
        <v>Natural gas</v>
      </c>
      <c r="K117" s="12">
        <f>VLOOKUP(I117,'Emission Factors'!F6:G8,2,FALSE)</f>
        <v>0.49</v>
      </c>
    </row>
    <row r="118" spans="3:39" x14ac:dyDescent="0.35">
      <c r="C118" s="28" t="s">
        <v>15</v>
      </c>
      <c r="I118" s="43">
        <f>Y11</f>
        <v>2</v>
      </c>
      <c r="J118" s="24" t="str">
        <f>VLOOKUP(I118,'Emission Factors'!B34:C36,2,FALSE)</f>
        <v>Natural gas power plant</v>
      </c>
      <c r="K118">
        <f>VLOOKUP(I118,'Emission Factors'!F34:G36,2,FALSE)</f>
        <v>0.18</v>
      </c>
    </row>
    <row r="120" spans="3:39" x14ac:dyDescent="0.35">
      <c r="C120" s="41" t="s">
        <v>44</v>
      </c>
      <c r="D120" s="40" t="s">
        <v>53</v>
      </c>
      <c r="E120" s="39"/>
      <c r="F120" s="39"/>
      <c r="G120" s="237" t="s">
        <v>379</v>
      </c>
      <c r="H120" s="237" t="s">
        <v>382</v>
      </c>
      <c r="I120" s="39"/>
      <c r="J120" s="39"/>
      <c r="K120" s="39"/>
      <c r="L120" s="39"/>
      <c r="M120" s="39"/>
      <c r="N120" s="39"/>
      <c r="O120" s="39"/>
      <c r="P120" s="39"/>
      <c r="Q120" s="39"/>
      <c r="R120" s="39"/>
      <c r="S120" s="39"/>
      <c r="T120" s="39"/>
      <c r="W120" t="s">
        <v>125</v>
      </c>
      <c r="Z120" s="492" t="s">
        <v>598</v>
      </c>
      <c r="AA120" s="492"/>
      <c r="AB120" s="493"/>
      <c r="AC120" s="494" t="s">
        <v>618</v>
      </c>
      <c r="AD120" s="492"/>
      <c r="AE120" s="493"/>
      <c r="AF120" s="494" t="s">
        <v>597</v>
      </c>
      <c r="AG120" s="492"/>
      <c r="AH120" s="493"/>
    </row>
    <row r="121" spans="3:39" x14ac:dyDescent="0.35">
      <c r="F121" t="s">
        <v>36</v>
      </c>
      <c r="J121" t="s">
        <v>41</v>
      </c>
      <c r="N121" t="s">
        <v>57</v>
      </c>
      <c r="Z121" s="109" t="s">
        <v>213</v>
      </c>
      <c r="AA121" s="109" t="s">
        <v>214</v>
      </c>
      <c r="AB121" s="112" t="s">
        <v>215</v>
      </c>
      <c r="AC121" s="69" t="s">
        <v>213</v>
      </c>
      <c r="AD121" s="109" t="s">
        <v>214</v>
      </c>
      <c r="AE121" s="112" t="s">
        <v>215</v>
      </c>
      <c r="AF121" s="69" t="s">
        <v>213</v>
      </c>
      <c r="AG121" s="109" t="s">
        <v>214</v>
      </c>
      <c r="AH121" s="112" t="s">
        <v>215</v>
      </c>
    </row>
    <row r="122" spans="3:39" x14ac:dyDescent="0.35">
      <c r="C122" t="s">
        <v>27</v>
      </c>
      <c r="F122" t="s">
        <v>34</v>
      </c>
      <c r="G122" t="s">
        <v>35</v>
      </c>
      <c r="J122" s="12" t="s">
        <v>34</v>
      </c>
      <c r="K122" t="s">
        <v>35</v>
      </c>
      <c r="N122" s="12" t="s">
        <v>34</v>
      </c>
      <c r="O122" t="s">
        <v>35</v>
      </c>
      <c r="R122" s="37" t="s">
        <v>597</v>
      </c>
      <c r="T122" s="37" t="s">
        <v>598</v>
      </c>
      <c r="U122" t="s">
        <v>601</v>
      </c>
      <c r="W122" t="s">
        <v>128</v>
      </c>
      <c r="Z122" s="113">
        <v>4.04</v>
      </c>
      <c r="AA122" s="113">
        <v>0.41</v>
      </c>
      <c r="AB122" s="114">
        <v>6.46</v>
      </c>
      <c r="AC122" s="115">
        <v>0.28899999999999998</v>
      </c>
      <c r="AD122" s="116">
        <v>2.9000000000000001E-2</v>
      </c>
      <c r="AE122" s="117">
        <v>0.46100000000000002</v>
      </c>
      <c r="AF122" s="119">
        <v>5.8</v>
      </c>
      <c r="AG122" s="66">
        <v>0.59</v>
      </c>
      <c r="AH122" s="117">
        <v>9.27</v>
      </c>
      <c r="AM122" t="s">
        <v>147</v>
      </c>
    </row>
    <row r="123" spans="3:39" x14ac:dyDescent="0.35">
      <c r="C123" s="18" t="s">
        <v>28</v>
      </c>
      <c r="D123" s="4"/>
      <c r="E123" s="4"/>
      <c r="F123" s="323">
        <v>1.3740000000000001</v>
      </c>
      <c r="G123" s="4" t="s">
        <v>95</v>
      </c>
      <c r="H123" s="4"/>
      <c r="I123" s="4"/>
      <c r="J123" s="4">
        <f>F123</f>
        <v>1.3740000000000001</v>
      </c>
      <c r="K123" s="4" t="s">
        <v>95</v>
      </c>
      <c r="L123" s="4"/>
      <c r="M123" s="4"/>
      <c r="N123" s="326">
        <f>J123</f>
        <v>1.3740000000000001</v>
      </c>
      <c r="O123" s="4" t="s">
        <v>95</v>
      </c>
      <c r="P123" s="4"/>
      <c r="Q123" s="4"/>
      <c r="R123" s="51">
        <f>-N123</f>
        <v>-1.3740000000000001</v>
      </c>
      <c r="S123" s="4"/>
      <c r="T123" s="52">
        <f>-R123/$R$123</f>
        <v>-1</v>
      </c>
      <c r="U123" s="2">
        <f>R123/'Energy &amp; Unit Conversions'!$E$15</f>
        <v>-6.837862048372649E-2</v>
      </c>
      <c r="W123" t="s">
        <v>129</v>
      </c>
      <c r="Z123" s="113">
        <v>3.85</v>
      </c>
      <c r="AA123" s="113">
        <v>0.43</v>
      </c>
      <c r="AB123" s="114">
        <v>6.13</v>
      </c>
      <c r="AC123" s="115">
        <v>0.28000000000000003</v>
      </c>
      <c r="AD123" s="116">
        <v>0.03</v>
      </c>
      <c r="AE123" s="117">
        <v>0.45</v>
      </c>
      <c r="AF123" s="119">
        <v>5.72</v>
      </c>
      <c r="AG123" s="66">
        <v>0.64</v>
      </c>
      <c r="AH123" s="117">
        <v>9.09</v>
      </c>
      <c r="AM123" t="s">
        <v>148</v>
      </c>
    </row>
    <row r="124" spans="3:39" x14ac:dyDescent="0.35">
      <c r="C124" s="12" t="s">
        <v>104</v>
      </c>
      <c r="D124" s="12"/>
      <c r="E124" s="12"/>
      <c r="F124" s="324">
        <v>0.153</v>
      </c>
      <c r="G124" s="12" t="s">
        <v>95</v>
      </c>
      <c r="H124" s="12"/>
      <c r="I124" s="12"/>
      <c r="J124" s="55">
        <f>F124</f>
        <v>0.153</v>
      </c>
      <c r="K124" s="12" t="s">
        <v>95</v>
      </c>
      <c r="L124" s="12"/>
      <c r="M124" s="12"/>
      <c r="N124" s="330">
        <f>J124</f>
        <v>0.153</v>
      </c>
      <c r="O124" s="12" t="s">
        <v>95</v>
      </c>
      <c r="P124" s="12"/>
      <c r="Q124" s="12"/>
      <c r="R124" s="55"/>
      <c r="S124" s="12"/>
      <c r="T124" s="55"/>
      <c r="U124" s="2"/>
      <c r="W124" t="s">
        <v>130</v>
      </c>
      <c r="Z124" s="113">
        <v>3.85</v>
      </c>
      <c r="AA124" s="113">
        <v>0.42</v>
      </c>
      <c r="AB124" s="114">
        <v>6.13</v>
      </c>
      <c r="AC124" s="115">
        <v>0.26</v>
      </c>
      <c r="AD124" s="116">
        <v>0.03</v>
      </c>
      <c r="AE124" s="117">
        <v>0.42</v>
      </c>
      <c r="AF124" s="119">
        <v>5.3</v>
      </c>
      <c r="AG124" s="66">
        <v>0.57999999999999996</v>
      </c>
      <c r="AH124" s="117">
        <v>8.43</v>
      </c>
      <c r="AM124" t="s">
        <v>149</v>
      </c>
    </row>
    <row r="125" spans="3:39" x14ac:dyDescent="0.35">
      <c r="C125" s="20" t="s">
        <v>29</v>
      </c>
      <c r="D125" s="12"/>
      <c r="E125" s="12"/>
      <c r="F125" s="347">
        <f>K133</f>
        <v>0.18</v>
      </c>
      <c r="G125" s="23" t="s">
        <v>38</v>
      </c>
      <c r="H125" s="12"/>
      <c r="I125" s="12"/>
      <c r="J125" s="12">
        <f>F125</f>
        <v>0.18</v>
      </c>
      <c r="K125" s="23" t="s">
        <v>38</v>
      </c>
      <c r="L125" s="12"/>
      <c r="M125" s="12"/>
      <c r="N125" s="58">
        <f>J125</f>
        <v>0.18</v>
      </c>
      <c r="O125" s="23" t="s">
        <v>38</v>
      </c>
      <c r="P125" s="12"/>
      <c r="Q125" s="12"/>
      <c r="R125" s="55">
        <f>N125*(N123+N124)</f>
        <v>0.27485999999999999</v>
      </c>
      <c r="S125" s="12"/>
      <c r="T125" s="96">
        <f>-R125/$R$123</f>
        <v>0.20004366812227073</v>
      </c>
      <c r="U125" s="2">
        <f>R125/'Energy &amp; Unit Conversions'!$E$15</f>
        <v>1.3678710062705284E-2</v>
      </c>
      <c r="W125" t="s">
        <v>131</v>
      </c>
      <c r="Z125" s="113">
        <v>3.43</v>
      </c>
      <c r="AA125" s="113">
        <v>0.13</v>
      </c>
      <c r="AB125" s="114">
        <v>6.15</v>
      </c>
      <c r="AC125" s="115">
        <v>0.24399999999999999</v>
      </c>
      <c r="AD125" s="116">
        <v>8.9999999999999993E-3</v>
      </c>
      <c r="AE125" s="117">
        <v>0.437</v>
      </c>
      <c r="AF125" s="119">
        <v>4.8899999999999997</v>
      </c>
      <c r="AG125" s="66">
        <v>0.19</v>
      </c>
      <c r="AH125" s="117">
        <v>8.77</v>
      </c>
      <c r="AM125" t="s">
        <v>146</v>
      </c>
    </row>
    <row r="126" spans="3:39" x14ac:dyDescent="0.35">
      <c r="C126" s="18" t="s">
        <v>106</v>
      </c>
      <c r="D126" s="4"/>
      <c r="E126" s="4"/>
      <c r="F126" s="326">
        <v>0.189</v>
      </c>
      <c r="G126" s="4" t="s">
        <v>606</v>
      </c>
      <c r="H126" s="4"/>
      <c r="I126" s="4"/>
      <c r="J126" s="4"/>
      <c r="K126" s="4"/>
      <c r="L126" s="4"/>
      <c r="M126" s="4"/>
      <c r="N126" s="4"/>
      <c r="O126" s="4"/>
      <c r="P126" s="4"/>
      <c r="Q126" s="4"/>
      <c r="R126" s="51"/>
      <c r="S126" s="4"/>
      <c r="T126" s="51"/>
      <c r="U126" s="2"/>
      <c r="Z126" s="24"/>
      <c r="AA126" s="24"/>
      <c r="AB126" s="24"/>
      <c r="AC126" s="24"/>
      <c r="AD126" s="24"/>
      <c r="AE126" s="24"/>
      <c r="AF126" s="24"/>
      <c r="AG126" s="24"/>
      <c r="AH126" s="24"/>
    </row>
    <row r="127" spans="3:39" x14ac:dyDescent="0.35">
      <c r="C127" s="28" t="s">
        <v>105</v>
      </c>
      <c r="D127" s="12"/>
      <c r="E127" s="12"/>
      <c r="F127" s="330">
        <v>41</v>
      </c>
      <c r="G127" s="12" t="s">
        <v>70</v>
      </c>
      <c r="J127" s="2">
        <f>F126*F127</f>
        <v>7.7489999999999997</v>
      </c>
      <c r="K127" t="s">
        <v>98</v>
      </c>
      <c r="N127" s="65">
        <f>'Main Input &amp; Output'!D109</f>
        <v>7.7489999999999997</v>
      </c>
      <c r="O127" t="s">
        <v>98</v>
      </c>
      <c r="R127" s="2">
        <f>N127*K132</f>
        <v>3.7970099999999998</v>
      </c>
      <c r="T127" s="100">
        <f>-R127/$R$123</f>
        <v>2.7634716157205235</v>
      </c>
      <c r="U127" s="80">
        <f>R127/'Energy &amp; Unit Conversions'!$E$15</f>
        <v>0.18896237682890413</v>
      </c>
    </row>
    <row r="128" spans="3:39" x14ac:dyDescent="0.35">
      <c r="C128" s="56" t="s">
        <v>160</v>
      </c>
      <c r="D128" s="4"/>
      <c r="E128" s="4"/>
      <c r="F128" s="326">
        <v>1.2709999999999999</v>
      </c>
      <c r="G128" s="4" t="s">
        <v>98</v>
      </c>
      <c r="H128" s="4"/>
      <c r="I128" s="4"/>
      <c r="J128" s="4">
        <f>F128</f>
        <v>1.2709999999999999</v>
      </c>
      <c r="K128" s="4" t="s">
        <v>98</v>
      </c>
      <c r="L128" s="4"/>
      <c r="M128" s="4"/>
      <c r="N128" s="67">
        <f>'Main Input &amp; Output'!D110</f>
        <v>1.2709999999999999</v>
      </c>
      <c r="O128" s="4" t="s">
        <v>98</v>
      </c>
      <c r="P128" s="4"/>
      <c r="Q128" s="4"/>
      <c r="R128" s="51">
        <f>N128*K132+N124</f>
        <v>0.77578999999999998</v>
      </c>
      <c r="S128" s="4"/>
      <c r="T128" s="102">
        <f>-R128/$R$123</f>
        <v>0.56462154294032019</v>
      </c>
      <c r="U128" s="2">
        <f>R128/'Energy &amp; Unit Conversions'!$E$15</f>
        <v>3.8608042201652232E-2</v>
      </c>
    </row>
    <row r="129" spans="3:21" x14ac:dyDescent="0.35">
      <c r="C129" s="56" t="s">
        <v>73</v>
      </c>
      <c r="D129" s="4"/>
      <c r="E129" s="4"/>
      <c r="F129" s="331">
        <f>'Emission Factors'!S8</f>
        <v>1.36755726371863</v>
      </c>
      <c r="G129" s="4" t="s">
        <v>95</v>
      </c>
      <c r="H129" s="4"/>
      <c r="I129" s="4"/>
      <c r="J129" s="51">
        <f>F129</f>
        <v>1.36755726371863</v>
      </c>
      <c r="K129" s="4" t="s">
        <v>95</v>
      </c>
      <c r="L129" s="4"/>
      <c r="M129" s="4"/>
      <c r="N129" s="51">
        <f>J129</f>
        <v>1.36755726371863</v>
      </c>
      <c r="O129" s="4" t="s">
        <v>95</v>
      </c>
      <c r="P129" s="4"/>
      <c r="Q129" s="4"/>
      <c r="R129" s="51">
        <f>N129</f>
        <v>1.36755726371863</v>
      </c>
      <c r="S129" s="4"/>
      <c r="T129" s="106">
        <f>-R129/$R$123</f>
        <v>0.99531096340511638</v>
      </c>
      <c r="U129" s="2">
        <f>R129/'Energy &amp; Unit Conversions'!$E$15</f>
        <v>6.805799062997063E-2</v>
      </c>
    </row>
    <row r="130" spans="3:21" x14ac:dyDescent="0.35">
      <c r="C130" s="34" t="s">
        <v>33</v>
      </c>
      <c r="D130" s="35"/>
      <c r="E130" s="35"/>
      <c r="F130" s="35"/>
      <c r="G130" s="35"/>
      <c r="H130" s="35"/>
      <c r="I130" s="35"/>
      <c r="J130" s="35"/>
      <c r="K130" s="35"/>
      <c r="L130" s="35"/>
      <c r="M130" s="35"/>
      <c r="N130" s="35"/>
      <c r="O130" s="35"/>
      <c r="P130" s="35"/>
      <c r="Q130" s="35"/>
      <c r="R130" s="36">
        <f>SUM(R123:R129)</f>
        <v>4.8412172637186295</v>
      </c>
      <c r="S130" s="35"/>
      <c r="T130" s="103">
        <f>SUM(T123:T129)</f>
        <v>3.5234477901882308</v>
      </c>
      <c r="U130" s="2">
        <f>SUM(U123:U129)</f>
        <v>0.24092849923950577</v>
      </c>
    </row>
    <row r="131" spans="3:21" x14ac:dyDescent="0.35">
      <c r="C131" s="4"/>
      <c r="D131" s="4"/>
      <c r="E131" s="4"/>
      <c r="F131" s="4"/>
      <c r="G131" s="4"/>
      <c r="H131" s="4"/>
      <c r="I131" s="4"/>
      <c r="J131" s="57"/>
      <c r="K131" s="4"/>
      <c r="L131" s="4"/>
      <c r="M131" s="4"/>
      <c r="N131" s="4"/>
      <c r="O131" s="4"/>
      <c r="P131" s="4"/>
      <c r="Q131" s="4"/>
      <c r="R131" s="4"/>
      <c r="S131" s="4"/>
      <c r="T131" s="4"/>
    </row>
    <row r="132" spans="3:21" x14ac:dyDescent="0.35">
      <c r="C132" s="28" t="s">
        <v>81</v>
      </c>
      <c r="I132" s="43">
        <f>K11</f>
        <v>2</v>
      </c>
      <c r="J132" s="58" t="str">
        <f>VLOOKUP(I132,'Emission Factors'!B6:C8,2,FALSE)</f>
        <v>Natural gas</v>
      </c>
      <c r="K132" s="12">
        <f>VLOOKUP(I132,'Emission Factors'!F6:G8,2,FALSE)</f>
        <v>0.49</v>
      </c>
    </row>
    <row r="133" spans="3:21" x14ac:dyDescent="0.35">
      <c r="C133" s="28" t="s">
        <v>15</v>
      </c>
      <c r="I133" s="43">
        <f>Y11</f>
        <v>2</v>
      </c>
      <c r="J133" s="24" t="str">
        <f>VLOOKUP(I133,'Emission Factors'!B34:C36,2,FALSE)</f>
        <v>Natural gas power plant</v>
      </c>
      <c r="K133">
        <f>VLOOKUP(I133,'Emission Factors'!F34:G36,2,FALSE)</f>
        <v>0.18</v>
      </c>
    </row>
    <row r="135" spans="3:21" x14ac:dyDescent="0.35">
      <c r="C135" s="41" t="s">
        <v>44</v>
      </c>
      <c r="D135" s="40" t="s">
        <v>55</v>
      </c>
      <c r="E135" s="39"/>
      <c r="F135" s="39"/>
      <c r="G135" s="237" t="s">
        <v>379</v>
      </c>
      <c r="H135" s="237" t="s">
        <v>383</v>
      </c>
      <c r="I135" s="39"/>
      <c r="J135" s="39"/>
      <c r="K135" s="39"/>
      <c r="L135" s="39"/>
      <c r="M135" s="39"/>
      <c r="N135" s="39"/>
      <c r="O135" s="39"/>
      <c r="P135" s="39"/>
      <c r="Q135" s="39"/>
      <c r="R135" s="39"/>
      <c r="S135" s="39"/>
      <c r="T135" s="39"/>
    </row>
    <row r="136" spans="3:21" x14ac:dyDescent="0.35">
      <c r="F136" t="s">
        <v>36</v>
      </c>
      <c r="J136" t="s">
        <v>41</v>
      </c>
      <c r="N136" t="s">
        <v>57</v>
      </c>
    </row>
    <row r="137" spans="3:21" x14ac:dyDescent="0.35">
      <c r="C137" s="7" t="s">
        <v>27</v>
      </c>
      <c r="D137" s="7"/>
      <c r="E137" s="7"/>
      <c r="F137" s="7" t="s">
        <v>34</v>
      </c>
      <c r="G137" s="7" t="s">
        <v>35</v>
      </c>
      <c r="H137" s="7"/>
      <c r="I137" s="7"/>
      <c r="J137" s="7" t="s">
        <v>34</v>
      </c>
      <c r="K137" s="7" t="s">
        <v>35</v>
      </c>
      <c r="L137" s="7"/>
      <c r="M137" s="7"/>
      <c r="N137" s="7" t="s">
        <v>34</v>
      </c>
      <c r="O137" s="7" t="s">
        <v>35</v>
      </c>
      <c r="P137" s="7"/>
      <c r="Q137" s="7"/>
      <c r="R137" s="64" t="s">
        <v>597</v>
      </c>
      <c r="S137" s="7"/>
      <c r="T137" s="64" t="s">
        <v>598</v>
      </c>
      <c r="U137" t="s">
        <v>601</v>
      </c>
    </row>
    <row r="138" spans="3:21" x14ac:dyDescent="0.35">
      <c r="C138" s="20" t="s">
        <v>28</v>
      </c>
      <c r="D138" s="12"/>
      <c r="E138" s="12"/>
      <c r="F138" s="332">
        <v>7.0000000000000007E-2</v>
      </c>
      <c r="G138" s="12" t="s">
        <v>607</v>
      </c>
      <c r="H138" s="12"/>
      <c r="I138" s="12"/>
      <c r="J138" s="59">
        <f>F144</f>
        <v>3.11</v>
      </c>
      <c r="K138" s="12" t="s">
        <v>102</v>
      </c>
      <c r="N138" s="340">
        <f>J138</f>
        <v>3.11</v>
      </c>
      <c r="O138" s="12" t="s">
        <v>102</v>
      </c>
      <c r="R138" s="59">
        <f>-N138</f>
        <v>-3.11</v>
      </c>
      <c r="T138" s="38">
        <f>-R138/$R$138</f>
        <v>-1</v>
      </c>
      <c r="U138" s="2">
        <f>R138/'Energy &amp; Unit Conversions'!$E$14</f>
        <v>-7.1912502601336512E-2</v>
      </c>
    </row>
    <row r="139" spans="3:21" x14ac:dyDescent="0.35">
      <c r="C139" s="12" t="s">
        <v>104</v>
      </c>
      <c r="D139" s="12"/>
      <c r="E139" s="12"/>
      <c r="F139" s="324">
        <v>8.0000000000000002E-3</v>
      </c>
      <c r="G139" s="12" t="s">
        <v>607</v>
      </c>
      <c r="H139" s="12"/>
      <c r="I139" s="12"/>
      <c r="J139" s="2">
        <f>J138/9</f>
        <v>0.34555555555555556</v>
      </c>
      <c r="K139" s="12" t="s">
        <v>102</v>
      </c>
      <c r="N139" s="343">
        <f>J139</f>
        <v>0.34555555555555556</v>
      </c>
      <c r="O139" s="12" t="s">
        <v>102</v>
      </c>
      <c r="T139" s="2"/>
    </row>
    <row r="140" spans="3:21" x14ac:dyDescent="0.35">
      <c r="C140" s="20" t="s">
        <v>29</v>
      </c>
      <c r="D140" s="12"/>
      <c r="E140" s="12"/>
      <c r="F140" s="347">
        <f>K148</f>
        <v>0.18</v>
      </c>
      <c r="G140" s="23" t="s">
        <v>38</v>
      </c>
      <c r="H140" s="12"/>
      <c r="I140" s="12"/>
      <c r="J140">
        <f>F140</f>
        <v>0.18</v>
      </c>
      <c r="K140" s="23" t="s">
        <v>38</v>
      </c>
      <c r="N140" s="24">
        <f>J140</f>
        <v>0.18</v>
      </c>
      <c r="O140" s="23" t="s">
        <v>38</v>
      </c>
      <c r="R140" s="59">
        <f>N140*(N138+N139)</f>
        <v>0.62199999999999989</v>
      </c>
      <c r="T140" s="95">
        <f>-R140/$R$138</f>
        <v>0.19999999999999998</v>
      </c>
      <c r="U140" s="2">
        <f>R140/'Energy &amp; Unit Conversions'!$E$14</f>
        <v>1.4382500520267299E-2</v>
      </c>
    </row>
    <row r="141" spans="3:21" x14ac:dyDescent="0.35">
      <c r="F141" s="319"/>
      <c r="R141" s="59"/>
      <c r="T141" s="2"/>
      <c r="U141" s="2"/>
    </row>
    <row r="142" spans="3:21" x14ac:dyDescent="0.35">
      <c r="C142" s="21" t="s">
        <v>105</v>
      </c>
      <c r="D142" s="7"/>
      <c r="E142" s="7"/>
      <c r="F142" s="333">
        <v>2</v>
      </c>
      <c r="G142" s="7" t="s">
        <v>108</v>
      </c>
      <c r="H142" s="7"/>
      <c r="I142" s="7"/>
      <c r="J142" s="60">
        <f>F142*'Energy &amp; Unit Conversions'!E14*'Energy &amp; Unit Conversions'!R8</f>
        <v>24.218320000000002</v>
      </c>
      <c r="K142" s="7" t="s">
        <v>103</v>
      </c>
      <c r="L142" s="7"/>
      <c r="M142" s="7"/>
      <c r="N142" s="68">
        <f>'Main Input &amp; Output'!D114</f>
        <v>24.218319999999999</v>
      </c>
      <c r="O142" s="7" t="s">
        <v>103</v>
      </c>
      <c r="P142" s="7"/>
      <c r="Q142" s="7"/>
      <c r="R142" s="60">
        <f>N142*K147</f>
        <v>11.8669768</v>
      </c>
      <c r="S142" s="7"/>
      <c r="T142" s="101">
        <f>-R142/$R$138</f>
        <v>3.8157481672025724</v>
      </c>
      <c r="U142" s="33">
        <f>R142/'Energy &amp; Unit Conversions'!$E$14</f>
        <v>0.27439999999999998</v>
      </c>
    </row>
    <row r="143" spans="3:21" x14ac:dyDescent="0.35">
      <c r="C143" s="34" t="s">
        <v>101</v>
      </c>
      <c r="D143" s="35"/>
      <c r="E143" s="35"/>
      <c r="F143" s="334">
        <v>0.03</v>
      </c>
      <c r="G143" s="35" t="s">
        <v>607</v>
      </c>
      <c r="H143" s="35"/>
      <c r="I143" s="35"/>
      <c r="J143" s="62">
        <f>F143*'Energy &amp; Unit Conversions'!E14</f>
        <v>1.29741</v>
      </c>
      <c r="K143" s="35" t="s">
        <v>102</v>
      </c>
      <c r="L143" s="35"/>
      <c r="M143" s="35"/>
      <c r="N143" s="254">
        <f>J143</f>
        <v>1.29741</v>
      </c>
      <c r="O143" s="35" t="s">
        <v>102</v>
      </c>
      <c r="P143" s="35"/>
      <c r="Q143" s="35"/>
      <c r="R143" s="62">
        <f>N143+N139</f>
        <v>1.6429655555555556</v>
      </c>
      <c r="S143" s="35"/>
      <c r="T143" s="99">
        <f>-R143/$R$138</f>
        <v>0.52828474455162555</v>
      </c>
      <c r="U143" s="36">
        <f>R143/'Energy &amp; Unit Conversions'!$E$14</f>
        <v>3.7990278066815167E-2</v>
      </c>
    </row>
    <row r="144" spans="3:21" x14ac:dyDescent="0.35">
      <c r="C144" s="34" t="s">
        <v>73</v>
      </c>
      <c r="D144" s="35"/>
      <c r="E144" s="35"/>
      <c r="F144" s="334">
        <v>3.11</v>
      </c>
      <c r="G144" s="53" t="s">
        <v>102</v>
      </c>
      <c r="H144" s="35"/>
      <c r="I144" s="35"/>
      <c r="J144" s="35">
        <f>F144</f>
        <v>3.11</v>
      </c>
      <c r="K144" s="53" t="s">
        <v>102</v>
      </c>
      <c r="L144" s="35"/>
      <c r="M144" s="35"/>
      <c r="N144" s="35">
        <f>J144</f>
        <v>3.11</v>
      </c>
      <c r="O144" s="53" t="s">
        <v>102</v>
      </c>
      <c r="P144" s="35"/>
      <c r="Q144" s="35"/>
      <c r="R144" s="35">
        <f>N144</f>
        <v>3.11</v>
      </c>
      <c r="S144" s="35"/>
      <c r="T144" s="104">
        <f>-R144/$R$138</f>
        <v>1</v>
      </c>
      <c r="U144" s="36">
        <f>R144/'Energy &amp; Unit Conversions'!$E$14</f>
        <v>7.1912502601336512E-2</v>
      </c>
    </row>
    <row r="145" spans="1:21" x14ac:dyDescent="0.35">
      <c r="C145" s="34" t="s">
        <v>33</v>
      </c>
      <c r="D145" s="35"/>
      <c r="E145" s="35"/>
      <c r="F145" s="35"/>
      <c r="G145" s="35"/>
      <c r="H145" s="35"/>
      <c r="I145" s="35"/>
      <c r="J145" s="35"/>
      <c r="K145" s="35"/>
      <c r="L145" s="35"/>
      <c r="M145" s="35"/>
      <c r="N145" s="35"/>
      <c r="O145" s="35"/>
      <c r="P145" s="35"/>
      <c r="Q145" s="35"/>
      <c r="R145" s="62">
        <f>SUM(R138:R144)</f>
        <v>14.131942355555555</v>
      </c>
      <c r="S145" s="35"/>
      <c r="T145" s="103">
        <f>SUM(T138:T144)</f>
        <v>4.5440329117541971</v>
      </c>
      <c r="U145" s="36">
        <f>SUM(U138:U144)</f>
        <v>0.32677277858708248</v>
      </c>
    </row>
    <row r="147" spans="1:21" x14ac:dyDescent="0.35">
      <c r="C147" s="28" t="s">
        <v>81</v>
      </c>
      <c r="I147" s="43">
        <f>K11</f>
        <v>2</v>
      </c>
      <c r="J147" s="58" t="str">
        <f>VLOOKUP(I147,'Emission Factors'!B6:C8,2,FALSE)</f>
        <v>Natural gas</v>
      </c>
      <c r="K147" s="12">
        <f>VLOOKUP(I147,'Emission Factors'!F6:G8,2,FALSE)</f>
        <v>0.49</v>
      </c>
      <c r="N147">
        <v>24.218320000000002</v>
      </c>
    </row>
    <row r="148" spans="1:21" x14ac:dyDescent="0.35">
      <c r="C148" s="28" t="s">
        <v>15</v>
      </c>
      <c r="I148" s="43">
        <f>Y11</f>
        <v>2</v>
      </c>
      <c r="J148" s="24" t="str">
        <f>VLOOKUP(I148,'Emission Factors'!B34:C36,2,FALSE)</f>
        <v>Natural gas power plant</v>
      </c>
      <c r="K148">
        <f>VLOOKUP(I148,'Emission Factors'!F34:G36,2,FALSE)</f>
        <v>0.18</v>
      </c>
    </row>
    <row r="150" spans="1:21" hidden="1" x14ac:dyDescent="0.35">
      <c r="C150" s="41" t="s">
        <v>44</v>
      </c>
      <c r="D150" s="40" t="s">
        <v>124</v>
      </c>
    </row>
    <row r="151" spans="1:21" hidden="1" x14ac:dyDescent="0.35"/>
    <row r="152" spans="1:21" hidden="1" x14ac:dyDescent="0.35">
      <c r="C152" t="s">
        <v>27</v>
      </c>
    </row>
    <row r="153" spans="1:21" hidden="1" x14ac:dyDescent="0.35">
      <c r="C153" s="18" t="s">
        <v>28</v>
      </c>
      <c r="D153" s="4"/>
    </row>
    <row r="154" spans="1:21" hidden="1" x14ac:dyDescent="0.35">
      <c r="C154" s="12" t="s">
        <v>104</v>
      </c>
      <c r="D154" s="12"/>
    </row>
    <row r="155" spans="1:21" hidden="1" x14ac:dyDescent="0.35">
      <c r="C155" s="20" t="s">
        <v>29</v>
      </c>
      <c r="D155" s="12"/>
    </row>
    <row r="156" spans="1:21" hidden="1" x14ac:dyDescent="0.35">
      <c r="A156" s="54" t="s">
        <v>107</v>
      </c>
    </row>
    <row r="157" spans="1:21" hidden="1" x14ac:dyDescent="0.35">
      <c r="C157" s="28" t="s">
        <v>105</v>
      </c>
    </row>
    <row r="158" spans="1:21" hidden="1" x14ac:dyDescent="0.35">
      <c r="C158" s="56" t="s">
        <v>72</v>
      </c>
    </row>
    <row r="159" spans="1:21" hidden="1" x14ac:dyDescent="0.35">
      <c r="C159" s="56" t="s">
        <v>73</v>
      </c>
    </row>
    <row r="160" spans="1:21" hidden="1" x14ac:dyDescent="0.35">
      <c r="C160" s="34" t="s">
        <v>33</v>
      </c>
    </row>
    <row r="161" spans="1:27" hidden="1" x14ac:dyDescent="0.35"/>
    <row r="162" spans="1:27" hidden="1" x14ac:dyDescent="0.35">
      <c r="A162" s="54" t="s">
        <v>71</v>
      </c>
      <c r="C162" s="28" t="s">
        <v>81</v>
      </c>
      <c r="J162" t="str">
        <f>L11</f>
        <v>Natural gas</v>
      </c>
      <c r="K162">
        <f>VLOOKUP(J162,'Emission Factors'!C6:G8,5,FALSE)</f>
        <v>0.49</v>
      </c>
    </row>
    <row r="163" spans="1:27" hidden="1" x14ac:dyDescent="0.35">
      <c r="J163">
        <f>Y11</f>
        <v>2</v>
      </c>
      <c r="K163">
        <f>VLOOKUP(J148,'Emission Factors'!C34:G36,5,FALSE)</f>
        <v>0.18</v>
      </c>
    </row>
    <row r="164" spans="1:27" hidden="1" x14ac:dyDescent="0.35"/>
    <row r="165" spans="1:27" x14ac:dyDescent="0.35">
      <c r="B165" s="16" t="s">
        <v>46</v>
      </c>
      <c r="C165" s="15"/>
      <c r="D165" s="16" t="s">
        <v>54</v>
      </c>
      <c r="E165" s="15"/>
      <c r="F165" s="15"/>
      <c r="G165" s="15"/>
      <c r="H165" s="15"/>
      <c r="I165" s="15"/>
      <c r="J165" s="15"/>
      <c r="K165" s="15"/>
      <c r="L165" s="15"/>
      <c r="M165" s="15"/>
      <c r="N165" s="15"/>
      <c r="O165" s="15"/>
      <c r="P165" s="15"/>
      <c r="Q165" s="15"/>
      <c r="R165" s="15"/>
      <c r="S165" s="15"/>
      <c r="T165" s="15"/>
    </row>
    <row r="167" spans="1:27" x14ac:dyDescent="0.35">
      <c r="C167" s="41" t="s">
        <v>44</v>
      </c>
      <c r="D167" s="40" t="s">
        <v>51</v>
      </c>
      <c r="E167" s="40"/>
      <c r="F167" s="40"/>
      <c r="G167" s="237" t="s">
        <v>379</v>
      </c>
      <c r="H167" s="237" t="s">
        <v>382</v>
      </c>
      <c r="I167" s="40"/>
      <c r="J167" s="40"/>
      <c r="K167" s="40"/>
      <c r="L167" s="40"/>
      <c r="M167" s="40"/>
      <c r="N167" s="40"/>
      <c r="O167" s="40"/>
      <c r="P167" s="40"/>
      <c r="Q167" s="40"/>
      <c r="R167" s="40"/>
      <c r="S167" s="40"/>
      <c r="T167" s="40"/>
      <c r="W167" t="s">
        <v>125</v>
      </c>
    </row>
    <row r="168" spans="1:27" x14ac:dyDescent="0.35">
      <c r="F168" t="s">
        <v>36</v>
      </c>
      <c r="J168" t="s">
        <v>41</v>
      </c>
      <c r="N168" t="s">
        <v>57</v>
      </c>
      <c r="Z168" t="s">
        <v>132</v>
      </c>
      <c r="AA168" t="s">
        <v>133</v>
      </c>
    </row>
    <row r="169" spans="1:27" x14ac:dyDescent="0.35">
      <c r="C169" t="s">
        <v>27</v>
      </c>
      <c r="F169" t="s">
        <v>34</v>
      </c>
      <c r="G169" t="s">
        <v>35</v>
      </c>
      <c r="J169" s="12" t="s">
        <v>34</v>
      </c>
      <c r="K169" t="s">
        <v>35</v>
      </c>
      <c r="N169" s="12" t="s">
        <v>34</v>
      </c>
      <c r="O169" t="s">
        <v>35</v>
      </c>
      <c r="R169" s="37" t="s">
        <v>597</v>
      </c>
      <c r="T169" s="37" t="s">
        <v>598</v>
      </c>
      <c r="U169" t="s">
        <v>601</v>
      </c>
      <c r="W169" s="24" t="s">
        <v>553</v>
      </c>
    </row>
    <row r="170" spans="1:27" x14ac:dyDescent="0.35">
      <c r="C170" s="18" t="s">
        <v>28</v>
      </c>
      <c r="D170" s="4"/>
      <c r="E170" s="4"/>
      <c r="F170" s="323">
        <v>2.75</v>
      </c>
      <c r="G170" s="4" t="s">
        <v>605</v>
      </c>
      <c r="H170" s="4"/>
      <c r="I170" s="4"/>
      <c r="J170" s="4">
        <f>F170</f>
        <v>2.75</v>
      </c>
      <c r="K170" s="4" t="s">
        <v>605</v>
      </c>
      <c r="L170" s="4"/>
      <c r="M170" s="4"/>
      <c r="N170" s="4">
        <f>J170</f>
        <v>2.75</v>
      </c>
      <c r="O170" s="4" t="s">
        <v>605</v>
      </c>
      <c r="P170" s="4"/>
      <c r="Q170" s="4"/>
      <c r="R170" s="4">
        <f>-N170</f>
        <v>-2.75</v>
      </c>
      <c r="S170" s="4"/>
      <c r="T170" s="52">
        <f>-R170/$R$170</f>
        <v>-1</v>
      </c>
      <c r="U170" s="2">
        <f>R170/'Energy &amp; Unit Conversions'!$E$10</f>
        <v>-5.5E-2</v>
      </c>
      <c r="W170" t="s">
        <v>126</v>
      </c>
    </row>
    <row r="171" spans="1:27" x14ac:dyDescent="0.35">
      <c r="C171" s="12" t="s">
        <v>104</v>
      </c>
      <c r="D171" s="12"/>
      <c r="E171" s="12"/>
      <c r="F171" s="332">
        <v>0.30599999999999999</v>
      </c>
      <c r="G171" s="12" t="s">
        <v>605</v>
      </c>
      <c r="H171" s="12"/>
      <c r="I171" s="12"/>
      <c r="J171" s="12">
        <f>F171</f>
        <v>0.30599999999999999</v>
      </c>
      <c r="K171" s="12" t="s">
        <v>605</v>
      </c>
      <c r="L171" s="12"/>
      <c r="M171" s="12"/>
      <c r="N171" s="12">
        <f>J171</f>
        <v>0.30599999999999999</v>
      </c>
      <c r="O171" s="12" t="s">
        <v>605</v>
      </c>
      <c r="P171" s="12"/>
      <c r="Q171" s="12"/>
      <c r="R171" s="12"/>
      <c r="S171" s="12"/>
      <c r="T171" s="55"/>
      <c r="U171" s="2"/>
      <c r="W171" t="s">
        <v>127</v>
      </c>
    </row>
    <row r="172" spans="1:27" x14ac:dyDescent="0.35">
      <c r="C172" s="19" t="s">
        <v>29</v>
      </c>
      <c r="D172" s="7"/>
      <c r="E172" s="7"/>
      <c r="F172" s="346">
        <f>K180</f>
        <v>0.18</v>
      </c>
      <c r="G172" s="32" t="s">
        <v>38</v>
      </c>
      <c r="H172" s="7"/>
      <c r="I172" s="7"/>
      <c r="J172" s="7">
        <f>F172</f>
        <v>0.18</v>
      </c>
      <c r="K172" s="32" t="s">
        <v>38</v>
      </c>
      <c r="L172" s="7"/>
      <c r="M172" s="7"/>
      <c r="N172" s="89">
        <f>J172</f>
        <v>0.18</v>
      </c>
      <c r="O172" s="32" t="s">
        <v>38</v>
      </c>
      <c r="P172" s="7"/>
      <c r="Q172" s="7"/>
      <c r="R172" s="33">
        <f>N172*(N170+N171)</f>
        <v>0.55008000000000001</v>
      </c>
      <c r="S172" s="7"/>
      <c r="T172" s="94">
        <f>-R172/$R$170</f>
        <v>0.20002909090909091</v>
      </c>
      <c r="U172" s="2">
        <f>R172/'Energy &amp; Unit Conversions'!$E$10</f>
        <v>1.10016E-2</v>
      </c>
    </row>
    <row r="173" spans="1:27" x14ac:dyDescent="0.35">
      <c r="C173" s="20" t="s">
        <v>106</v>
      </c>
      <c r="D173" s="12"/>
      <c r="E173" s="12"/>
      <c r="F173" s="329">
        <v>0.52</v>
      </c>
      <c r="G173" s="12" t="s">
        <v>604</v>
      </c>
      <c r="H173" s="12"/>
      <c r="J173" s="12"/>
      <c r="K173" s="12"/>
      <c r="N173" s="12"/>
      <c r="O173" s="12"/>
      <c r="R173" s="12"/>
      <c r="T173" s="2"/>
      <c r="U173" s="2"/>
    </row>
    <row r="174" spans="1:27" x14ac:dyDescent="0.35">
      <c r="C174" s="28" t="s">
        <v>105</v>
      </c>
      <c r="D174" s="12"/>
      <c r="E174" s="12"/>
      <c r="F174" s="330">
        <v>54.73</v>
      </c>
      <c r="G174" s="12" t="s">
        <v>70</v>
      </c>
      <c r="H174" s="12"/>
      <c r="J174" s="55">
        <f>F174*F173</f>
        <v>28.459599999999998</v>
      </c>
      <c r="K174" s="12" t="s">
        <v>254</v>
      </c>
      <c r="N174" s="66">
        <f>J174</f>
        <v>28.459599999999998</v>
      </c>
      <c r="O174" s="12" t="s">
        <v>254</v>
      </c>
      <c r="R174" s="55">
        <f>N174*K179</f>
        <v>13.945203999999999</v>
      </c>
      <c r="T174" s="100">
        <f>-R174/$R$170</f>
        <v>5.0709832727272719</v>
      </c>
      <c r="U174" s="2">
        <f>R174/'Energy &amp; Unit Conversions'!$E$10</f>
        <v>0.27890408</v>
      </c>
    </row>
    <row r="175" spans="1:27" x14ac:dyDescent="0.35">
      <c r="C175" s="34" t="s">
        <v>72</v>
      </c>
      <c r="D175" s="35"/>
      <c r="E175" s="35"/>
      <c r="F175" s="328">
        <v>0.33500000000000002</v>
      </c>
      <c r="G175" s="35" t="s">
        <v>254</v>
      </c>
      <c r="H175" s="35"/>
      <c r="I175" s="35"/>
      <c r="J175" s="35">
        <f>F175</f>
        <v>0.33500000000000002</v>
      </c>
      <c r="K175" s="35" t="s">
        <v>254</v>
      </c>
      <c r="L175" s="35"/>
      <c r="M175" s="35"/>
      <c r="N175" s="63">
        <f>J175</f>
        <v>0.33500000000000002</v>
      </c>
      <c r="O175" s="35" t="s">
        <v>254</v>
      </c>
      <c r="P175" s="35"/>
      <c r="Q175" s="35"/>
      <c r="R175" s="36">
        <f>N175*K179+N171</f>
        <v>0.47015000000000001</v>
      </c>
      <c r="S175" s="35"/>
      <c r="T175" s="99">
        <f>-R175/$R$170</f>
        <v>0.17096363636363637</v>
      </c>
      <c r="U175" s="2">
        <f>R175/'Energy &amp; Unit Conversions'!$E$10</f>
        <v>9.4029999999999999E-3</v>
      </c>
    </row>
    <row r="176" spans="1:27" x14ac:dyDescent="0.35">
      <c r="C176" s="34" t="s">
        <v>73</v>
      </c>
      <c r="D176" s="35"/>
      <c r="E176" s="35"/>
      <c r="F176" s="314">
        <f>'Emission Factors'!S7</f>
        <v>2.75</v>
      </c>
      <c r="G176" s="35" t="s">
        <v>605</v>
      </c>
      <c r="H176" s="35"/>
      <c r="I176" s="35"/>
      <c r="J176" s="36">
        <f>F176</f>
        <v>2.75</v>
      </c>
      <c r="K176" s="35" t="s">
        <v>605</v>
      </c>
      <c r="L176" s="35"/>
      <c r="M176" s="35"/>
      <c r="N176" s="36">
        <f>J176</f>
        <v>2.75</v>
      </c>
      <c r="O176" s="35" t="s">
        <v>605</v>
      </c>
      <c r="P176" s="35"/>
      <c r="Q176" s="35"/>
      <c r="R176" s="36">
        <f>N176</f>
        <v>2.75</v>
      </c>
      <c r="S176" s="35"/>
      <c r="T176" s="104">
        <f>-R176/$R$170</f>
        <v>1</v>
      </c>
      <c r="U176" s="2">
        <f>R176/'Energy &amp; Unit Conversions'!$E$10</f>
        <v>5.5E-2</v>
      </c>
    </row>
    <row r="177" spans="3:27" x14ac:dyDescent="0.35">
      <c r="C177" s="34" t="s">
        <v>33</v>
      </c>
      <c r="D177" s="35"/>
      <c r="E177" s="35"/>
      <c r="F177" s="35"/>
      <c r="G177" s="35"/>
      <c r="H177" s="35"/>
      <c r="I177" s="35"/>
      <c r="J177" s="35"/>
      <c r="K177" s="35"/>
      <c r="L177" s="35"/>
      <c r="M177" s="35"/>
      <c r="N177" s="35"/>
      <c r="O177" s="35"/>
      <c r="P177" s="35"/>
      <c r="Q177" s="35"/>
      <c r="R177" s="36">
        <f>SUM(R170:R176)</f>
        <v>14.965433999999998</v>
      </c>
      <c r="S177" s="35"/>
      <c r="T177" s="103">
        <f>SUM(T170:T176)</f>
        <v>5.4419759999999986</v>
      </c>
      <c r="U177" s="2">
        <f>SUM(U170:U176)</f>
        <v>0.29930867999999999</v>
      </c>
    </row>
    <row r="179" spans="3:27" x14ac:dyDescent="0.35">
      <c r="C179" s="28" t="s">
        <v>81</v>
      </c>
      <c r="I179">
        <f>K11</f>
        <v>2</v>
      </c>
      <c r="J179" s="58" t="str">
        <f>VLOOKUP(I179,'Emission Factors'!B6:C8,2,FALSE)</f>
        <v>Natural gas</v>
      </c>
      <c r="K179" s="12">
        <f>VLOOKUP(J179,'Emission Factors'!C6:G8,5,FALSE)</f>
        <v>0.49</v>
      </c>
    </row>
    <row r="180" spans="3:27" x14ac:dyDescent="0.35">
      <c r="C180" s="28" t="s">
        <v>15</v>
      </c>
      <c r="I180">
        <f>Y11</f>
        <v>2</v>
      </c>
      <c r="J180" s="24" t="str">
        <f>VLOOKUP(I180,'Emission Factors'!B34:C36,2,FALSE)</f>
        <v>Natural gas power plant</v>
      </c>
      <c r="K180">
        <f>VLOOKUP(I180,'Emission Factors'!F34:G36,2,FALSE)</f>
        <v>0.18</v>
      </c>
    </row>
    <row r="182" spans="3:27" x14ac:dyDescent="0.35">
      <c r="C182" s="41" t="s">
        <v>44</v>
      </c>
      <c r="D182" s="40" t="s">
        <v>53</v>
      </c>
      <c r="E182" s="39"/>
      <c r="F182" s="39"/>
      <c r="G182" s="39" t="s">
        <v>379</v>
      </c>
      <c r="H182" s="39" t="s">
        <v>382</v>
      </c>
      <c r="I182" s="39"/>
      <c r="J182" s="39"/>
      <c r="K182" s="39"/>
      <c r="L182" s="39"/>
      <c r="M182" s="39"/>
      <c r="N182" s="39"/>
      <c r="O182" s="39"/>
      <c r="P182" s="39"/>
      <c r="Q182" s="39"/>
      <c r="R182" s="39"/>
      <c r="S182" s="39"/>
      <c r="T182" s="39"/>
      <c r="W182" t="s">
        <v>125</v>
      </c>
      <c r="Z182" t="s">
        <v>132</v>
      </c>
      <c r="AA182" t="s">
        <v>133</v>
      </c>
    </row>
    <row r="183" spans="3:27" x14ac:dyDescent="0.35">
      <c r="F183" t="s">
        <v>36</v>
      </c>
      <c r="J183" t="s">
        <v>41</v>
      </c>
      <c r="N183" t="s">
        <v>57</v>
      </c>
    </row>
    <row r="184" spans="3:27" x14ac:dyDescent="0.35">
      <c r="C184" t="s">
        <v>27</v>
      </c>
      <c r="F184" t="s">
        <v>34</v>
      </c>
      <c r="G184" t="s">
        <v>35</v>
      </c>
      <c r="J184" s="12" t="s">
        <v>34</v>
      </c>
      <c r="K184" t="s">
        <v>35</v>
      </c>
      <c r="N184" s="12" t="s">
        <v>34</v>
      </c>
      <c r="O184" t="s">
        <v>35</v>
      </c>
      <c r="R184" s="37" t="s">
        <v>597</v>
      </c>
      <c r="T184" s="37" t="s">
        <v>598</v>
      </c>
      <c r="U184" t="s">
        <v>601</v>
      </c>
      <c r="W184" t="s">
        <v>128</v>
      </c>
    </row>
    <row r="185" spans="3:27" x14ac:dyDescent="0.35">
      <c r="C185" s="18" t="s">
        <v>28</v>
      </c>
      <c r="D185" s="4"/>
      <c r="E185" s="4"/>
      <c r="F185" s="323">
        <v>1.3740000000000001</v>
      </c>
      <c r="G185" s="4" t="s">
        <v>95</v>
      </c>
      <c r="H185" s="4"/>
      <c r="I185" s="4"/>
      <c r="J185" s="4">
        <f>F185</f>
        <v>1.3740000000000001</v>
      </c>
      <c r="K185" s="4" t="s">
        <v>95</v>
      </c>
      <c r="L185" s="4"/>
      <c r="M185" s="4"/>
      <c r="N185" s="4">
        <f>J185</f>
        <v>1.3740000000000001</v>
      </c>
      <c r="O185" s="4" t="s">
        <v>95</v>
      </c>
      <c r="P185" s="4"/>
      <c r="Q185" s="4"/>
      <c r="R185" s="51">
        <f>-N185</f>
        <v>-1.3740000000000001</v>
      </c>
      <c r="S185" s="4"/>
      <c r="T185" s="52">
        <f>-R185/$R$185</f>
        <v>-1</v>
      </c>
      <c r="U185" s="2">
        <f>R185/'Energy &amp; Unit Conversions'!$E$15</f>
        <v>-6.837862048372649E-2</v>
      </c>
      <c r="W185" t="s">
        <v>129</v>
      </c>
    </row>
    <row r="186" spans="3:27" x14ac:dyDescent="0.35">
      <c r="C186" s="12" t="s">
        <v>104</v>
      </c>
      <c r="D186" s="12"/>
      <c r="E186" s="12"/>
      <c r="F186" s="324">
        <v>0.153</v>
      </c>
      <c r="G186" s="12" t="s">
        <v>95</v>
      </c>
      <c r="H186" s="12"/>
      <c r="I186" s="12"/>
      <c r="J186" s="55">
        <f>F186</f>
        <v>0.153</v>
      </c>
      <c r="K186" s="12" t="s">
        <v>95</v>
      </c>
      <c r="L186" s="12"/>
      <c r="M186" s="12"/>
      <c r="N186" s="55">
        <f>J186</f>
        <v>0.153</v>
      </c>
      <c r="O186" s="12" t="s">
        <v>95</v>
      </c>
      <c r="P186" s="12"/>
      <c r="Q186" s="12"/>
      <c r="R186" s="55"/>
      <c r="S186" s="12"/>
      <c r="T186" s="55"/>
      <c r="U186" s="2"/>
      <c r="W186" t="s">
        <v>130</v>
      </c>
    </row>
    <row r="187" spans="3:27" x14ac:dyDescent="0.35">
      <c r="C187" s="20" t="s">
        <v>29</v>
      </c>
      <c r="D187" s="12"/>
      <c r="E187" s="12"/>
      <c r="F187" s="347">
        <f>K195</f>
        <v>0.18</v>
      </c>
      <c r="G187" s="23" t="s">
        <v>38</v>
      </c>
      <c r="H187" s="12"/>
      <c r="I187" s="58"/>
      <c r="J187" s="58">
        <f>F187</f>
        <v>0.18</v>
      </c>
      <c r="K187" s="265" t="s">
        <v>38</v>
      </c>
      <c r="L187" s="58"/>
      <c r="M187" s="58"/>
      <c r="N187" s="58">
        <f>J187</f>
        <v>0.18</v>
      </c>
      <c r="O187" s="265" t="s">
        <v>38</v>
      </c>
      <c r="P187" s="12"/>
      <c r="Q187" s="12"/>
      <c r="R187" s="55">
        <f>N187*(N185+N186)</f>
        <v>0.27485999999999999</v>
      </c>
      <c r="S187" s="12"/>
      <c r="T187" s="96">
        <f>-R187/$R$185</f>
        <v>0.20004366812227073</v>
      </c>
      <c r="U187" s="2">
        <f>R187/'Energy &amp; Unit Conversions'!$E$15</f>
        <v>1.3678710062705284E-2</v>
      </c>
      <c r="W187" t="s">
        <v>131</v>
      </c>
      <c r="Z187">
        <v>3.43</v>
      </c>
      <c r="AA187">
        <v>0.3</v>
      </c>
    </row>
    <row r="188" spans="3:27" x14ac:dyDescent="0.35">
      <c r="C188" s="18" t="s">
        <v>106</v>
      </c>
      <c r="D188" s="4"/>
      <c r="E188" s="4"/>
      <c r="F188" s="326">
        <v>0.189</v>
      </c>
      <c r="G188" s="4" t="s">
        <v>606</v>
      </c>
      <c r="H188" s="4"/>
      <c r="I188" s="57"/>
      <c r="J188" s="57"/>
      <c r="K188" s="57"/>
      <c r="L188" s="57"/>
      <c r="M188" s="57"/>
      <c r="N188" s="57"/>
      <c r="O188" s="57"/>
      <c r="P188" s="4"/>
      <c r="Q188" s="4"/>
      <c r="R188" s="51"/>
      <c r="S188" s="4"/>
      <c r="T188" s="51"/>
      <c r="U188" s="2"/>
    </row>
    <row r="189" spans="3:27" x14ac:dyDescent="0.35">
      <c r="C189" s="28" t="s">
        <v>105</v>
      </c>
      <c r="D189" s="12"/>
      <c r="E189" s="12"/>
      <c r="F189" s="330">
        <v>54.73</v>
      </c>
      <c r="G189" s="12" t="s">
        <v>70</v>
      </c>
      <c r="I189" s="24"/>
      <c r="J189" s="80">
        <f>F188*F189</f>
        <v>10.343969999999999</v>
      </c>
      <c r="K189" s="24" t="s">
        <v>98</v>
      </c>
      <c r="L189" s="24"/>
      <c r="M189" s="24"/>
      <c r="N189" s="80">
        <f>J189</f>
        <v>10.343969999999999</v>
      </c>
      <c r="O189" s="24" t="s">
        <v>98</v>
      </c>
      <c r="R189" s="2">
        <f>N189*K194</f>
        <v>5.0685452999999994</v>
      </c>
      <c r="T189" s="100">
        <f>-R189/$R$185</f>
        <v>3.6888975982532743</v>
      </c>
      <c r="U189" s="2">
        <f>R189/'Energy &amp; Unit Conversions'!$E$15</f>
        <v>0.2522417288742908</v>
      </c>
    </row>
    <row r="190" spans="3:27" x14ac:dyDescent="0.35">
      <c r="C190" s="56" t="s">
        <v>160</v>
      </c>
      <c r="D190" s="4"/>
      <c r="E190" s="4"/>
      <c r="F190" s="326">
        <v>1.2709999999999999</v>
      </c>
      <c r="G190" s="4" t="s">
        <v>98</v>
      </c>
      <c r="H190" s="4"/>
      <c r="I190" s="57"/>
      <c r="J190" s="57">
        <f>F190</f>
        <v>1.2709999999999999</v>
      </c>
      <c r="K190" s="57" t="s">
        <v>98</v>
      </c>
      <c r="L190" s="57"/>
      <c r="M190" s="57"/>
      <c r="N190" s="57">
        <f>J190</f>
        <v>1.2709999999999999</v>
      </c>
      <c r="O190" s="57" t="s">
        <v>98</v>
      </c>
      <c r="P190" s="4"/>
      <c r="Q190" s="4"/>
      <c r="R190" s="51">
        <f>N190*K194+N186</f>
        <v>0.77578999999999998</v>
      </c>
      <c r="S190" s="4"/>
      <c r="T190" s="102">
        <f>-R190/$R$185</f>
        <v>0.56462154294032019</v>
      </c>
      <c r="U190" s="2">
        <f>R190/'Energy &amp; Unit Conversions'!$E$15</f>
        <v>3.8608042201652232E-2</v>
      </c>
    </row>
    <row r="191" spans="3:27" x14ac:dyDescent="0.35">
      <c r="C191" s="56" t="s">
        <v>73</v>
      </c>
      <c r="D191" s="4"/>
      <c r="E191" s="4"/>
      <c r="F191" s="331">
        <f>'Emission Factors'!S8</f>
        <v>1.36755726371863</v>
      </c>
      <c r="G191" s="4" t="s">
        <v>95</v>
      </c>
      <c r="H191" s="4"/>
      <c r="I191" s="57"/>
      <c r="J191" s="134">
        <f>F191</f>
        <v>1.36755726371863</v>
      </c>
      <c r="K191" s="57" t="s">
        <v>95</v>
      </c>
      <c r="L191" s="57"/>
      <c r="M191" s="57"/>
      <c r="N191" s="134">
        <f>J191</f>
        <v>1.36755726371863</v>
      </c>
      <c r="O191" s="57" t="s">
        <v>95</v>
      </c>
      <c r="P191" s="4"/>
      <c r="Q191" s="4"/>
      <c r="R191" s="51">
        <f>N191</f>
        <v>1.36755726371863</v>
      </c>
      <c r="S191" s="4"/>
      <c r="T191" s="106">
        <f>-R191/$R$185</f>
        <v>0.99531096340511638</v>
      </c>
      <c r="U191" s="2">
        <f>R191/'Energy &amp; Unit Conversions'!$E$15</f>
        <v>6.805799062997063E-2</v>
      </c>
    </row>
    <row r="192" spans="3:27" x14ac:dyDescent="0.35">
      <c r="C192" s="34" t="s">
        <v>33</v>
      </c>
      <c r="D192" s="35"/>
      <c r="E192" s="35"/>
      <c r="F192" s="35"/>
      <c r="G192" s="35"/>
      <c r="H192" s="35"/>
      <c r="I192" s="63"/>
      <c r="J192" s="63"/>
      <c r="K192" s="63"/>
      <c r="L192" s="63"/>
      <c r="M192" s="63"/>
      <c r="N192" s="63"/>
      <c r="O192" s="63"/>
      <c r="P192" s="35"/>
      <c r="Q192" s="35"/>
      <c r="R192" s="36">
        <f>SUM(R185:R191)</f>
        <v>6.1127525637186286</v>
      </c>
      <c r="S192" s="35"/>
      <c r="T192" s="103">
        <f>SUM(T185:T191)</f>
        <v>4.4488737727209813</v>
      </c>
      <c r="U192" s="2">
        <f>SUM(U185:U191)</f>
        <v>0.30420785128489247</v>
      </c>
    </row>
    <row r="193" spans="3:21" x14ac:dyDescent="0.35">
      <c r="C193" s="4"/>
      <c r="D193" s="4"/>
      <c r="E193" s="4"/>
      <c r="F193" s="4"/>
      <c r="G193" s="4"/>
      <c r="H193" s="4"/>
      <c r="I193" s="57"/>
      <c r="J193" s="57"/>
      <c r="K193" s="57"/>
      <c r="L193" s="57"/>
      <c r="M193" s="57"/>
      <c r="N193" s="57"/>
      <c r="O193" s="57"/>
      <c r="P193" s="4"/>
      <c r="Q193" s="4"/>
      <c r="R193" s="4"/>
      <c r="S193" s="4"/>
      <c r="T193" s="4"/>
    </row>
    <row r="194" spans="3:21" x14ac:dyDescent="0.35">
      <c r="C194" s="28" t="s">
        <v>81</v>
      </c>
      <c r="I194" s="24">
        <f>K11</f>
        <v>2</v>
      </c>
      <c r="J194" s="58" t="str">
        <f>VLOOKUP(I194,'Emission Factors'!B6:C8,2,FALSE)</f>
        <v>Natural gas</v>
      </c>
      <c r="K194" s="58">
        <f>VLOOKUP(J194,'Emission Factors'!C6:G8,5,FALSE)</f>
        <v>0.49</v>
      </c>
      <c r="L194" s="24"/>
      <c r="M194" s="24"/>
      <c r="N194" s="24"/>
      <c r="O194" s="24"/>
    </row>
    <row r="195" spans="3:21" x14ac:dyDescent="0.35">
      <c r="C195" s="28" t="s">
        <v>15</v>
      </c>
      <c r="I195" s="24">
        <f>Y11</f>
        <v>2</v>
      </c>
      <c r="J195" s="24" t="str">
        <f>VLOOKUP(I195,'Emission Factors'!B34:C36,2,FALSE)</f>
        <v>Natural gas power plant</v>
      </c>
      <c r="K195" s="24">
        <f>VLOOKUP(J195,'Emission Factors'!C34:G36,5,FALSE)</f>
        <v>0.18</v>
      </c>
      <c r="L195" s="24"/>
      <c r="M195" s="24"/>
      <c r="N195" s="24"/>
      <c r="O195" s="24"/>
    </row>
    <row r="196" spans="3:21" x14ac:dyDescent="0.35">
      <c r="I196" s="24"/>
      <c r="J196" s="24"/>
      <c r="K196" s="24"/>
      <c r="L196" s="24"/>
      <c r="M196" s="24"/>
      <c r="N196" s="24"/>
      <c r="O196" s="24"/>
    </row>
    <row r="197" spans="3:21" x14ac:dyDescent="0.35">
      <c r="C197" s="41" t="s">
        <v>44</v>
      </c>
      <c r="D197" s="40" t="s">
        <v>55</v>
      </c>
      <c r="E197" s="39"/>
      <c r="F197" s="39"/>
      <c r="G197" s="39" t="s">
        <v>379</v>
      </c>
      <c r="H197" s="39" t="s">
        <v>383</v>
      </c>
      <c r="I197" s="39"/>
      <c r="J197" s="39"/>
      <c r="K197" s="39"/>
      <c r="L197" s="39"/>
      <c r="M197" s="39"/>
      <c r="N197" s="39"/>
      <c r="O197" s="39"/>
      <c r="P197" s="39"/>
      <c r="Q197" s="39"/>
      <c r="R197" s="39"/>
      <c r="S197" s="39"/>
      <c r="T197" s="39"/>
      <c r="U197" s="24"/>
    </row>
    <row r="198" spans="3:21" x14ac:dyDescent="0.35">
      <c r="F198" t="s">
        <v>36</v>
      </c>
      <c r="J198" t="s">
        <v>41</v>
      </c>
      <c r="N198" t="s">
        <v>57</v>
      </c>
    </row>
    <row r="199" spans="3:21" x14ac:dyDescent="0.35">
      <c r="C199" t="s">
        <v>27</v>
      </c>
      <c r="F199" t="s">
        <v>34</v>
      </c>
      <c r="G199" t="s">
        <v>35</v>
      </c>
      <c r="J199" s="12" t="s">
        <v>34</v>
      </c>
      <c r="K199" t="s">
        <v>35</v>
      </c>
      <c r="N199" s="12" t="s">
        <v>34</v>
      </c>
      <c r="O199" t="s">
        <v>35</v>
      </c>
      <c r="R199" s="37" t="s">
        <v>597</v>
      </c>
      <c r="T199" s="37" t="s">
        <v>598</v>
      </c>
      <c r="U199" t="s">
        <v>601</v>
      </c>
    </row>
    <row r="200" spans="3:21" x14ac:dyDescent="0.35">
      <c r="C200" s="18" t="s">
        <v>28</v>
      </c>
      <c r="D200" s="4"/>
      <c r="E200" s="4"/>
      <c r="F200" s="326">
        <v>7.0000000000000007E-2</v>
      </c>
      <c r="G200" s="4" t="s">
        <v>607</v>
      </c>
      <c r="H200" s="4"/>
      <c r="I200" s="4"/>
      <c r="J200" s="266">
        <f>F200*'Energy &amp; Unit Conversions'!E14</f>
        <v>3.0272900000000003</v>
      </c>
      <c r="K200" s="57" t="s">
        <v>102</v>
      </c>
      <c r="L200" s="57"/>
      <c r="M200" s="57"/>
      <c r="N200" s="266">
        <f>J200</f>
        <v>3.0272900000000003</v>
      </c>
      <c r="O200" s="4" t="s">
        <v>102</v>
      </c>
      <c r="P200" s="4"/>
      <c r="Q200" s="4"/>
      <c r="R200" s="61">
        <f>-N200</f>
        <v>-3.0272900000000003</v>
      </c>
      <c r="S200" s="4"/>
      <c r="T200" s="52">
        <f>-R200/$R$200</f>
        <v>-1</v>
      </c>
      <c r="U200" s="51">
        <f>R200/'Energy &amp; Unit Conversions'!$E$14</f>
        <v>-7.0000000000000007E-2</v>
      </c>
    </row>
    <row r="201" spans="3:21" x14ac:dyDescent="0.35">
      <c r="C201" s="12" t="s">
        <v>104</v>
      </c>
      <c r="D201" s="12"/>
      <c r="E201" s="12"/>
      <c r="F201" s="330">
        <v>8.0000000000000002E-3</v>
      </c>
      <c r="G201" s="12" t="s">
        <v>607</v>
      </c>
      <c r="H201" s="12"/>
      <c r="I201" s="12"/>
      <c r="J201" s="66">
        <f>F201*'Energy &amp; Unit Conversions'!E14</f>
        <v>0.34597600000000001</v>
      </c>
      <c r="K201" s="58" t="s">
        <v>608</v>
      </c>
      <c r="L201" s="58"/>
      <c r="M201" s="58"/>
      <c r="N201" s="66">
        <f>J201</f>
        <v>0.34597600000000001</v>
      </c>
      <c r="O201" s="12" t="s">
        <v>608</v>
      </c>
      <c r="P201" s="12"/>
      <c r="Q201" s="12"/>
      <c r="R201" s="12"/>
      <c r="S201" s="12"/>
      <c r="T201" s="55"/>
      <c r="U201" s="55"/>
    </row>
    <row r="202" spans="3:21" x14ac:dyDescent="0.35">
      <c r="C202" s="19" t="s">
        <v>29</v>
      </c>
      <c r="D202" s="7"/>
      <c r="E202" s="7"/>
      <c r="F202" s="346">
        <f>K210</f>
        <v>0.18</v>
      </c>
      <c r="G202" s="32" t="s">
        <v>38</v>
      </c>
      <c r="H202" s="7"/>
      <c r="I202" s="7"/>
      <c r="J202" s="89">
        <f>F202</f>
        <v>0.18</v>
      </c>
      <c r="K202" s="267" t="s">
        <v>38</v>
      </c>
      <c r="L202" s="89"/>
      <c r="M202" s="89"/>
      <c r="N202" s="89">
        <f>J202</f>
        <v>0.18</v>
      </c>
      <c r="O202" s="32" t="s">
        <v>38</v>
      </c>
      <c r="P202" s="7"/>
      <c r="Q202" s="7"/>
      <c r="R202" s="60">
        <f>N202*(N200+N201)</f>
        <v>0.60718788000000001</v>
      </c>
      <c r="S202" s="7"/>
      <c r="T202" s="94">
        <f>-R202/$R$200</f>
        <v>0.20057142857142857</v>
      </c>
      <c r="U202" s="33">
        <f>R202/'Energy &amp; Unit Conversions'!$E$14</f>
        <v>1.404E-2</v>
      </c>
    </row>
    <row r="203" spans="3:21" x14ac:dyDescent="0.35">
      <c r="F203" s="319"/>
      <c r="J203" s="24"/>
      <c r="K203" s="24"/>
      <c r="L203" s="24"/>
      <c r="M203" s="24"/>
      <c r="N203" s="24"/>
      <c r="T203" s="2"/>
      <c r="U203" s="2"/>
    </row>
    <row r="204" spans="3:21" x14ac:dyDescent="0.35">
      <c r="C204" s="21" t="s">
        <v>143</v>
      </c>
      <c r="D204" s="7"/>
      <c r="E204" s="7"/>
      <c r="F204" s="325">
        <v>2</v>
      </c>
      <c r="G204" s="7" t="s">
        <v>144</v>
      </c>
      <c r="H204" s="7"/>
      <c r="I204" s="7"/>
      <c r="J204" s="126">
        <f>F204*'Energy &amp; Unit Conversions'!E14*'Energy &amp; Unit Conversions'!R8</f>
        <v>24.218320000000002</v>
      </c>
      <c r="K204" s="89" t="s">
        <v>103</v>
      </c>
      <c r="L204" s="89"/>
      <c r="M204" s="89"/>
      <c r="N204" s="126">
        <f>J204</f>
        <v>24.218320000000002</v>
      </c>
      <c r="O204" s="7" t="s">
        <v>103</v>
      </c>
      <c r="P204" s="7"/>
      <c r="Q204" s="7"/>
      <c r="R204" s="60">
        <f>N204*K209</f>
        <v>11.866976800000002</v>
      </c>
      <c r="S204" s="7"/>
      <c r="T204" s="101">
        <f>-R204/$R$200</f>
        <v>3.9200000000000004</v>
      </c>
      <c r="U204" s="33">
        <f>R204/'Energy &amp; Unit Conversions'!$E$14</f>
        <v>0.27440000000000003</v>
      </c>
    </row>
    <row r="205" spans="3:21" x14ac:dyDescent="0.35">
      <c r="C205" s="34" t="s">
        <v>101</v>
      </c>
      <c r="D205" s="35"/>
      <c r="E205" s="35"/>
      <c r="F205" s="334">
        <v>0.03</v>
      </c>
      <c r="G205" s="35" t="s">
        <v>607</v>
      </c>
      <c r="H205" s="35"/>
      <c r="I205" s="35"/>
      <c r="J205" s="254">
        <f>F205*'Energy &amp; Unit Conversions'!E14</f>
        <v>1.29741</v>
      </c>
      <c r="K205" s="63" t="s">
        <v>102</v>
      </c>
      <c r="L205" s="63"/>
      <c r="M205" s="63"/>
      <c r="N205" s="254">
        <f>J205</f>
        <v>1.29741</v>
      </c>
      <c r="O205" s="35" t="s">
        <v>102</v>
      </c>
      <c r="P205" s="35"/>
      <c r="Q205" s="35"/>
      <c r="R205" s="62">
        <f>N205+N201</f>
        <v>1.643386</v>
      </c>
      <c r="S205" s="35"/>
      <c r="T205" s="99">
        <f>-R205/$R$200</f>
        <v>0.54285714285714282</v>
      </c>
      <c r="U205" s="36">
        <f>R205/'Energy &amp; Unit Conversions'!$E$14</f>
        <v>3.7999999999999999E-2</v>
      </c>
    </row>
    <row r="206" spans="3:21" x14ac:dyDescent="0.35">
      <c r="C206" s="34" t="s">
        <v>73</v>
      </c>
      <c r="D206" s="35"/>
      <c r="E206" s="35"/>
      <c r="F206" s="334">
        <v>3.11</v>
      </c>
      <c r="G206" s="53" t="s">
        <v>102</v>
      </c>
      <c r="H206" s="35"/>
      <c r="I206" s="35"/>
      <c r="J206" s="63">
        <f>F206</f>
        <v>3.11</v>
      </c>
      <c r="K206" s="53" t="s">
        <v>102</v>
      </c>
      <c r="L206" s="63"/>
      <c r="M206" s="63"/>
      <c r="N206" s="63">
        <f>J206</f>
        <v>3.11</v>
      </c>
      <c r="O206" s="53" t="s">
        <v>102</v>
      </c>
      <c r="P206" s="35"/>
      <c r="Q206" s="35"/>
      <c r="R206" s="35">
        <f>N206</f>
        <v>3.11</v>
      </c>
      <c r="S206" s="35"/>
      <c r="T206" s="104">
        <f>-R206/$R$200</f>
        <v>1.0273214657333787</v>
      </c>
      <c r="U206" s="36">
        <f>R206/'Energy &amp; Unit Conversions'!$E$14</f>
        <v>7.1912502601336512E-2</v>
      </c>
    </row>
    <row r="207" spans="3:21" x14ac:dyDescent="0.35">
      <c r="C207" s="34" t="s">
        <v>33</v>
      </c>
      <c r="D207" s="35"/>
      <c r="E207" s="35"/>
      <c r="F207" s="35"/>
      <c r="G207" s="35"/>
      <c r="H207" s="35"/>
      <c r="I207" s="35"/>
      <c r="J207" s="63"/>
      <c r="K207" s="63"/>
      <c r="L207" s="63"/>
      <c r="M207" s="63"/>
      <c r="N207" s="63"/>
      <c r="O207" s="35"/>
      <c r="P207" s="35"/>
      <c r="Q207" s="35"/>
      <c r="R207" s="62">
        <f>SUM(R200:R206)</f>
        <v>14.20026068</v>
      </c>
      <c r="S207" s="35"/>
      <c r="T207" s="103">
        <f>SUM(T200:T206)</f>
        <v>4.6907500371619504</v>
      </c>
      <c r="U207" s="36">
        <f>SUM(U200:U206)</f>
        <v>0.32835250260133653</v>
      </c>
    </row>
    <row r="208" spans="3:21" x14ac:dyDescent="0.35">
      <c r="J208" s="24"/>
      <c r="K208" s="24"/>
      <c r="L208" s="24"/>
      <c r="M208" s="24"/>
      <c r="N208" s="24"/>
    </row>
    <row r="209" spans="1:14" x14ac:dyDescent="0.35">
      <c r="C209" s="28" t="s">
        <v>81</v>
      </c>
      <c r="I209">
        <f>K11</f>
        <v>2</v>
      </c>
      <c r="J209" s="58" t="str">
        <f>VLOOKUP(I209,'Emission Factors'!B6:C8,2,FALSE)</f>
        <v>Natural gas</v>
      </c>
      <c r="K209" s="58">
        <f>VLOOKUP(J209,'Emission Factors'!C6:G8,5,FALSE)</f>
        <v>0.49</v>
      </c>
      <c r="L209" s="24"/>
      <c r="M209" s="24"/>
      <c r="N209" s="24"/>
    </row>
    <row r="210" spans="1:14" x14ac:dyDescent="0.35">
      <c r="C210" s="28" t="s">
        <v>15</v>
      </c>
      <c r="I210">
        <f>Y11</f>
        <v>2</v>
      </c>
      <c r="J210" s="24" t="str">
        <f>VLOOKUP(I210,'Emission Factors'!B34:C36,2,FALSE)</f>
        <v>Natural gas power plant</v>
      </c>
      <c r="K210" s="24">
        <f>VLOOKUP(J210,'Emission Factors'!C34:G36,5,FALSE)</f>
        <v>0.18</v>
      </c>
      <c r="L210" s="24"/>
      <c r="M210" s="24"/>
      <c r="N210" s="24"/>
    </row>
    <row r="211" spans="1:14" x14ac:dyDescent="0.35">
      <c r="J211" s="24"/>
      <c r="K211" s="24"/>
      <c r="L211" s="24"/>
      <c r="M211" s="24"/>
      <c r="N211" s="24"/>
    </row>
    <row r="212" spans="1:14" hidden="1" x14ac:dyDescent="0.35">
      <c r="C212" s="41" t="s">
        <v>44</v>
      </c>
      <c r="D212" s="40" t="s">
        <v>124</v>
      </c>
    </row>
    <row r="213" spans="1:14" hidden="1" x14ac:dyDescent="0.35"/>
    <row r="214" spans="1:14" hidden="1" x14ac:dyDescent="0.35">
      <c r="C214" t="s">
        <v>27</v>
      </c>
    </row>
    <row r="215" spans="1:14" hidden="1" x14ac:dyDescent="0.35">
      <c r="C215" s="18" t="s">
        <v>28</v>
      </c>
      <c r="D215" s="4"/>
    </row>
    <row r="216" spans="1:14" hidden="1" x14ac:dyDescent="0.35">
      <c r="C216" s="12" t="s">
        <v>104</v>
      </c>
      <c r="D216" s="12"/>
    </row>
    <row r="217" spans="1:14" hidden="1" x14ac:dyDescent="0.35">
      <c r="C217" s="20" t="s">
        <v>29</v>
      </c>
      <c r="D217" s="12"/>
    </row>
    <row r="218" spans="1:14" hidden="1" x14ac:dyDescent="0.35">
      <c r="A218" s="54" t="s">
        <v>107</v>
      </c>
    </row>
    <row r="219" spans="1:14" hidden="1" x14ac:dyDescent="0.35">
      <c r="C219" s="28" t="s">
        <v>105</v>
      </c>
    </row>
    <row r="220" spans="1:14" hidden="1" x14ac:dyDescent="0.35">
      <c r="C220" s="56" t="s">
        <v>72</v>
      </c>
    </row>
    <row r="221" spans="1:14" hidden="1" x14ac:dyDescent="0.35">
      <c r="C221" s="56" t="s">
        <v>73</v>
      </c>
    </row>
    <row r="222" spans="1:14" hidden="1" x14ac:dyDescent="0.35">
      <c r="C222" s="34" t="s">
        <v>33</v>
      </c>
    </row>
    <row r="223" spans="1:14" hidden="1" x14ac:dyDescent="0.35"/>
    <row r="224" spans="1:14" hidden="1" x14ac:dyDescent="0.35">
      <c r="A224" s="54" t="s">
        <v>71</v>
      </c>
      <c r="C224" s="28" t="s">
        <v>81</v>
      </c>
      <c r="J224" s="12" t="str">
        <f>L11</f>
        <v>Natural gas</v>
      </c>
      <c r="K224">
        <f>VLOOKUP(J224,'Emission Factors'!C6:G8,5,FALSE)</f>
        <v>0.49</v>
      </c>
    </row>
    <row r="225" spans="1:24" hidden="1" x14ac:dyDescent="0.35">
      <c r="C225" s="28" t="s">
        <v>15</v>
      </c>
      <c r="J225">
        <f>Y11</f>
        <v>2</v>
      </c>
      <c r="K225" t="e">
        <f>VLOOKUP(J225,'Emission Factors'!C34:G36,5,FALSE)</f>
        <v>#N/A</v>
      </c>
    </row>
    <row r="226" spans="1:24" x14ac:dyDescent="0.35">
      <c r="C226" s="28"/>
    </row>
    <row r="227" spans="1:24" x14ac:dyDescent="0.35">
      <c r="B227" s="16" t="s">
        <v>46</v>
      </c>
      <c r="C227" s="15"/>
      <c r="D227" s="16" t="s">
        <v>49</v>
      </c>
      <c r="E227" s="15"/>
      <c r="F227" s="15"/>
      <c r="G227" s="15"/>
      <c r="H227" s="15"/>
      <c r="I227" s="15"/>
      <c r="J227" s="15"/>
      <c r="K227" s="15"/>
      <c r="L227" s="15"/>
      <c r="M227" s="15"/>
      <c r="N227" s="15"/>
      <c r="O227" s="15"/>
      <c r="P227" s="15"/>
      <c r="Q227" s="15"/>
      <c r="R227" s="15"/>
      <c r="S227" s="15"/>
      <c r="T227" s="15"/>
    </row>
    <row r="228" spans="1:24" x14ac:dyDescent="0.35">
      <c r="E228" t="s">
        <v>45</v>
      </c>
    </row>
    <row r="229" spans="1:24" x14ac:dyDescent="0.35">
      <c r="C229" s="41" t="s">
        <v>44</v>
      </c>
      <c r="D229" s="40" t="s">
        <v>140</v>
      </c>
      <c r="E229" s="40"/>
      <c r="F229" s="237" t="s">
        <v>379</v>
      </c>
      <c r="G229" s="237" t="s">
        <v>389</v>
      </c>
      <c r="H229" s="40"/>
      <c r="I229" s="40"/>
      <c r="J229" s="40" t="s">
        <v>157</v>
      </c>
      <c r="K229" s="40"/>
      <c r="L229" s="40"/>
      <c r="M229" s="40"/>
      <c r="N229" s="40"/>
      <c r="O229" s="40"/>
      <c r="P229" s="40"/>
      <c r="Q229" s="40"/>
      <c r="R229" s="40"/>
      <c r="S229" s="40"/>
      <c r="T229" s="40"/>
    </row>
    <row r="230" spans="1:24" x14ac:dyDescent="0.35">
      <c r="F230" t="s">
        <v>36</v>
      </c>
      <c r="J230" t="s">
        <v>41</v>
      </c>
      <c r="N230" t="s">
        <v>57</v>
      </c>
    </row>
    <row r="231" spans="1:24" x14ac:dyDescent="0.35">
      <c r="C231" s="7" t="s">
        <v>27</v>
      </c>
      <c r="D231" s="7"/>
      <c r="E231" s="7"/>
      <c r="F231" s="7" t="s">
        <v>34</v>
      </c>
      <c r="G231" s="7" t="s">
        <v>35</v>
      </c>
      <c r="H231" s="7"/>
      <c r="I231" s="7"/>
      <c r="J231" s="7" t="s">
        <v>34</v>
      </c>
      <c r="K231" s="7" t="s">
        <v>35</v>
      </c>
      <c r="L231" s="7"/>
      <c r="M231" s="7"/>
      <c r="N231" s="7" t="s">
        <v>34</v>
      </c>
      <c r="O231" s="7" t="s">
        <v>35</v>
      </c>
      <c r="P231" s="7"/>
      <c r="Q231" s="7"/>
      <c r="R231" s="64" t="s">
        <v>597</v>
      </c>
      <c r="S231" s="7"/>
      <c r="T231" s="64" t="s">
        <v>598</v>
      </c>
      <c r="U231" t="s">
        <v>601</v>
      </c>
    </row>
    <row r="232" spans="1:24" x14ac:dyDescent="0.35">
      <c r="C232" s="20" t="s">
        <v>28</v>
      </c>
      <c r="F232" s="413">
        <v>1.9130434782608696</v>
      </c>
      <c r="G232" s="23" t="s">
        <v>141</v>
      </c>
      <c r="J232" s="2">
        <f>F232</f>
        <v>1.9130434782608696</v>
      </c>
      <c r="K232" s="23" t="s">
        <v>141</v>
      </c>
      <c r="N232" s="343">
        <f>J232</f>
        <v>1.9130434782608696</v>
      </c>
      <c r="O232" s="23" t="s">
        <v>141</v>
      </c>
      <c r="R232" s="2">
        <f>-N232</f>
        <v>-1.9130434782608696</v>
      </c>
      <c r="T232" s="38">
        <f>-R232/$R$232</f>
        <v>-1</v>
      </c>
      <c r="U232" s="2">
        <f>R232/'Energy &amp; Unit Conversions'!$E$18</f>
        <v>-7.0948633619756452E-2</v>
      </c>
    </row>
    <row r="233" spans="1:24" x14ac:dyDescent="0.35">
      <c r="C233" t="s">
        <v>104</v>
      </c>
      <c r="F233" s="335">
        <v>0.20546765199256473</v>
      </c>
      <c r="G233" t="s">
        <v>609</v>
      </c>
      <c r="J233" s="2">
        <f>F233</f>
        <v>0.20546765199256473</v>
      </c>
      <c r="N233" s="340">
        <f>J233</f>
        <v>0.20546765199256473</v>
      </c>
      <c r="U233" s="2"/>
    </row>
    <row r="234" spans="1:24" x14ac:dyDescent="0.35">
      <c r="C234" s="19" t="s">
        <v>29</v>
      </c>
      <c r="D234" s="7"/>
      <c r="E234" s="7"/>
      <c r="F234" s="345">
        <f>K242</f>
        <v>0.18</v>
      </c>
      <c r="G234" s="32" t="s">
        <v>38</v>
      </c>
      <c r="H234" s="7" t="s">
        <v>45</v>
      </c>
      <c r="I234" s="7"/>
      <c r="J234" s="33">
        <f>F234</f>
        <v>0.18</v>
      </c>
      <c r="K234" s="32" t="s">
        <v>38</v>
      </c>
      <c r="L234" s="7"/>
      <c r="M234" s="7"/>
      <c r="N234" s="85">
        <f>J234</f>
        <v>0.18</v>
      </c>
      <c r="O234" s="32" t="s">
        <v>38</v>
      </c>
      <c r="P234" s="7"/>
      <c r="Q234" s="7"/>
      <c r="R234" s="33">
        <f>N234*(7.04)*F236</f>
        <v>0.32007379609871589</v>
      </c>
      <c r="S234" s="7"/>
      <c r="T234" s="95">
        <f>-R234/R232</f>
        <v>0.16731130250614693</v>
      </c>
      <c r="U234" s="2">
        <f>R234/'Energy &amp; Unit Conversions'!$E$18</f>
        <v>1.1870508301952859E-2</v>
      </c>
    </row>
    <row r="235" spans="1:24" x14ac:dyDescent="0.35">
      <c r="A235" s="48"/>
      <c r="C235" s="18" t="s">
        <v>30</v>
      </c>
      <c r="D235" s="4"/>
      <c r="E235" s="4"/>
      <c r="F235" s="336">
        <v>57.35222151697873</v>
      </c>
      <c r="G235" s="22" t="s">
        <v>142</v>
      </c>
      <c r="H235" s="4"/>
      <c r="I235" s="4"/>
      <c r="J235" s="51">
        <f>F235</f>
        <v>57.35222151697873</v>
      </c>
      <c r="K235" s="18" t="s">
        <v>142</v>
      </c>
      <c r="L235" s="4"/>
      <c r="M235" s="4"/>
      <c r="N235" s="51">
        <f>J235</f>
        <v>57.35222151697873</v>
      </c>
      <c r="O235" s="18" t="s">
        <v>142</v>
      </c>
      <c r="P235" s="4"/>
      <c r="Q235" s="4"/>
      <c r="R235" s="4"/>
      <c r="S235" s="4"/>
      <c r="T235" s="4"/>
      <c r="U235" s="4"/>
    </row>
    <row r="236" spans="1:24" x14ac:dyDescent="0.35">
      <c r="A236" s="48"/>
      <c r="C236" s="20" t="s">
        <v>158</v>
      </c>
      <c r="F236" s="337">
        <v>0.25258348808295134</v>
      </c>
      <c r="G236" s="23" t="s">
        <v>159</v>
      </c>
      <c r="J236" s="2"/>
      <c r="K236" s="20"/>
      <c r="N236" s="2"/>
      <c r="O236" s="20"/>
      <c r="U236" s="2"/>
    </row>
    <row r="237" spans="1:24" x14ac:dyDescent="0.35">
      <c r="A237" s="48"/>
      <c r="C237" s="19" t="s">
        <v>68</v>
      </c>
      <c r="D237" s="7"/>
      <c r="E237" s="7"/>
      <c r="F237" s="317"/>
      <c r="G237" s="32"/>
      <c r="H237" s="7"/>
      <c r="I237" s="7"/>
      <c r="J237" s="33">
        <f>SUM(J235:J236)</f>
        <v>57.35222151697873</v>
      </c>
      <c r="K237" s="19"/>
      <c r="L237" s="7"/>
      <c r="M237" s="7"/>
      <c r="N237" s="45">
        <f>'Main Input &amp; Output'!D98</f>
        <v>57.352221516978702</v>
      </c>
      <c r="O237" s="7" t="s">
        <v>142</v>
      </c>
      <c r="P237" s="7"/>
      <c r="Q237" s="7"/>
      <c r="R237" s="33">
        <f>(N237*K241+N233)*F236</f>
        <v>7.1501475746601368</v>
      </c>
      <c r="S237" s="7"/>
      <c r="T237" s="127">
        <f>-R237/R232</f>
        <v>3.7375771412996168</v>
      </c>
      <c r="U237" s="2">
        <f>R237/'Energy &amp; Unit Conversions'!$E$18</f>
        <v>0.26517599122364321</v>
      </c>
    </row>
    <row r="238" spans="1:24" x14ac:dyDescent="0.35">
      <c r="C238" s="34" t="s">
        <v>73</v>
      </c>
      <c r="D238" s="35"/>
      <c r="E238" s="35"/>
      <c r="F238" s="321">
        <f>'Emission Factors'!S10</f>
        <v>1.9130434782608696</v>
      </c>
      <c r="G238" s="49" t="s">
        <v>141</v>
      </c>
      <c r="H238" s="35"/>
      <c r="I238" s="35"/>
      <c r="J238" s="36">
        <f>F238</f>
        <v>1.9130434782608696</v>
      </c>
      <c r="K238" s="49" t="s">
        <v>75</v>
      </c>
      <c r="L238" s="35"/>
      <c r="M238" s="35"/>
      <c r="N238" s="50">
        <f>J238</f>
        <v>1.9130434782608696</v>
      </c>
      <c r="O238" s="49" t="s">
        <v>141</v>
      </c>
      <c r="P238" s="35"/>
      <c r="Q238" s="35"/>
      <c r="R238" s="36">
        <f>N238</f>
        <v>1.9130434782608696</v>
      </c>
      <c r="S238" s="35"/>
      <c r="T238" s="412">
        <f>-R238/R232</f>
        <v>1</v>
      </c>
      <c r="U238" s="2">
        <f>R238/'Energy &amp; Unit Conversions'!$E$18</f>
        <v>7.0948633619756452E-2</v>
      </c>
    </row>
    <row r="239" spans="1:24" x14ac:dyDescent="0.35">
      <c r="C239" s="34" t="s">
        <v>33</v>
      </c>
      <c r="D239" s="35"/>
      <c r="E239" s="35"/>
      <c r="F239" s="35"/>
      <c r="G239" s="35"/>
      <c r="H239" s="35"/>
      <c r="I239" s="35"/>
      <c r="J239" s="63"/>
      <c r="K239" s="35"/>
      <c r="L239" s="35"/>
      <c r="M239" s="35"/>
      <c r="N239" s="35"/>
      <c r="O239" s="35"/>
      <c r="P239" s="35"/>
      <c r="Q239" s="35"/>
      <c r="R239" s="36">
        <f>SUM(R232:R238)</f>
        <v>7.4702213707588534</v>
      </c>
      <c r="S239" s="35"/>
      <c r="T239" s="103">
        <f>SUM(T232:T238)</f>
        <v>3.9048884438057638</v>
      </c>
      <c r="U239" s="2">
        <f>SUM(U232:U238)</f>
        <v>0.27704649952559607</v>
      </c>
      <c r="X239" s="2"/>
    </row>
    <row r="240" spans="1:24" x14ac:dyDescent="0.35">
      <c r="C240" s="28"/>
      <c r="J240" s="80"/>
      <c r="N240" s="2"/>
    </row>
    <row r="241" spans="3:11" x14ac:dyDescent="0.35">
      <c r="C241" s="28" t="s">
        <v>81</v>
      </c>
      <c r="I241" s="43">
        <f>K11</f>
        <v>2</v>
      </c>
      <c r="J241" s="24" t="str">
        <f>VLOOKUP(I241,'Emission Factors'!B6:C8,2,FALSE)</f>
        <v>Natural gas</v>
      </c>
      <c r="K241">
        <f>VLOOKUP(I241,'Emission Factors'!F6:G8,2,FALSE)</f>
        <v>0.49</v>
      </c>
    </row>
    <row r="242" spans="3:11" x14ac:dyDescent="0.35">
      <c r="C242" s="28" t="s">
        <v>15</v>
      </c>
      <c r="I242" s="43">
        <f>Y11</f>
        <v>2</v>
      </c>
      <c r="J242" s="24" t="str">
        <f>VLOOKUP(I242,'Emission Factors'!B34:C36,2,FALSE)</f>
        <v>Natural gas power plant</v>
      </c>
      <c r="K242">
        <f>VLOOKUP(I242,'Emission Factors'!F34:G36,2,FALSE)</f>
        <v>0.18</v>
      </c>
    </row>
    <row r="243" spans="3:11" x14ac:dyDescent="0.35">
      <c r="J243" s="24"/>
    </row>
  </sheetData>
  <sheetProtection sheet="1" objects="1" scenarios="1"/>
  <mergeCells count="8">
    <mergeCell ref="A2:G3"/>
    <mergeCell ref="Z120:AB120"/>
    <mergeCell ref="AC120:AE120"/>
    <mergeCell ref="AF120:AH120"/>
    <mergeCell ref="Z105:AB105"/>
    <mergeCell ref="AC105:AE105"/>
    <mergeCell ref="AF105:AH105"/>
    <mergeCell ref="I2:I7"/>
  </mergeCell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F47FF-FF63-411E-B371-1AFC51F7821C}">
  <sheetPr codeName="Sheet13">
    <tabColor theme="4"/>
  </sheetPr>
  <dimension ref="A2:BT69"/>
  <sheetViews>
    <sheetView zoomScaleNormal="100" workbookViewId="0">
      <selection activeCell="A2" sqref="A2:G3"/>
    </sheetView>
  </sheetViews>
  <sheetFormatPr defaultColWidth="8.81640625" defaultRowHeight="14.5" x14ac:dyDescent="0.35"/>
  <cols>
    <col min="24" max="25" width="8.81640625" hidden="1" customWidth="1"/>
    <col min="26" max="33" width="8.6328125" customWidth="1"/>
    <col min="34" max="34" width="10.81640625" customWidth="1"/>
    <col min="35" max="36" width="8.6328125" customWidth="1"/>
    <col min="40" max="55" width="8.6328125" customWidth="1"/>
    <col min="56" max="62" width="8.6328125" hidden="1" customWidth="1"/>
    <col min="63" max="63" width="10" hidden="1" customWidth="1"/>
    <col min="64" max="69" width="8.6328125" hidden="1" customWidth="1"/>
    <col min="70" max="70" width="0" hidden="1" customWidth="1"/>
    <col min="72" max="72" width="9" bestFit="1" customWidth="1"/>
  </cols>
  <sheetData>
    <row r="2" spans="1:72" ht="14.5" customHeight="1" x14ac:dyDescent="0.45">
      <c r="A2" s="488" t="s">
        <v>561</v>
      </c>
      <c r="B2" s="488"/>
      <c r="C2" s="488"/>
      <c r="D2" s="488"/>
      <c r="E2" s="488"/>
      <c r="F2" s="488"/>
      <c r="G2" s="488"/>
      <c r="H2" s="157"/>
      <c r="I2" s="489" t="s">
        <v>517</v>
      </c>
      <c r="J2" s="302" t="s">
        <v>519</v>
      </c>
      <c r="K2" s="302"/>
      <c r="L2" s="302"/>
      <c r="M2" s="4" t="s">
        <v>522</v>
      </c>
      <c r="N2" s="4"/>
      <c r="O2" s="4"/>
      <c r="P2" s="4"/>
      <c r="Q2" s="4"/>
      <c r="R2" s="4"/>
      <c r="S2" s="4"/>
      <c r="T2" s="4"/>
      <c r="U2" s="4"/>
      <c r="V2" s="4"/>
      <c r="W2" s="5"/>
      <c r="AA2" s="43"/>
      <c r="AB2" t="s">
        <v>528</v>
      </c>
    </row>
    <row r="3" spans="1:72" ht="14.5" customHeight="1" x14ac:dyDescent="0.45">
      <c r="A3" s="488"/>
      <c r="B3" s="488"/>
      <c r="C3" s="488"/>
      <c r="D3" s="488"/>
      <c r="E3" s="488"/>
      <c r="F3" s="488"/>
      <c r="G3" s="488"/>
      <c r="H3" s="157"/>
      <c r="I3" s="490"/>
      <c r="J3" s="296" t="s">
        <v>520</v>
      </c>
      <c r="K3" s="296"/>
      <c r="L3" s="296"/>
      <c r="M3" s="12" t="s">
        <v>523</v>
      </c>
      <c r="N3" s="12"/>
      <c r="O3" s="12"/>
      <c r="P3" s="12"/>
      <c r="Q3" s="12"/>
      <c r="R3" s="12"/>
      <c r="S3" s="12"/>
      <c r="T3" s="12"/>
      <c r="U3" s="12"/>
      <c r="V3" s="12"/>
      <c r="W3" s="25"/>
    </row>
    <row r="4" spans="1:72" ht="15.5" x14ac:dyDescent="0.35">
      <c r="B4" s="92"/>
      <c r="C4" s="92"/>
      <c r="D4" s="92"/>
      <c r="E4" s="92"/>
      <c r="F4" s="92"/>
      <c r="G4" s="92"/>
      <c r="H4" s="92"/>
      <c r="I4" s="490"/>
      <c r="J4" s="303" t="s">
        <v>143</v>
      </c>
      <c r="K4" s="304"/>
      <c r="L4" s="304"/>
      <c r="M4" s="12" t="s">
        <v>518</v>
      </c>
      <c r="N4" s="12"/>
      <c r="O4" s="12"/>
      <c r="P4" s="12"/>
      <c r="Q4" s="12"/>
      <c r="R4" s="12"/>
      <c r="S4" s="12"/>
      <c r="T4" s="12"/>
      <c r="U4" s="12"/>
      <c r="V4" s="12"/>
      <c r="W4" s="25"/>
    </row>
    <row r="5" spans="1:72" ht="16.5" x14ac:dyDescent="0.45">
      <c r="B5" s="27"/>
      <c r="C5" s="92"/>
      <c r="D5" s="92"/>
      <c r="E5" s="92"/>
      <c r="F5" s="92"/>
      <c r="G5" s="92"/>
      <c r="H5" s="92"/>
      <c r="I5" s="490"/>
      <c r="J5" s="305" t="s">
        <v>521</v>
      </c>
      <c r="K5" s="305"/>
      <c r="L5" s="305"/>
      <c r="M5" s="12" t="s">
        <v>524</v>
      </c>
      <c r="N5" s="12"/>
      <c r="O5" s="12"/>
      <c r="P5" s="12"/>
      <c r="Q5" s="12"/>
      <c r="R5" s="12"/>
      <c r="S5" s="12"/>
      <c r="T5" s="12"/>
      <c r="U5" s="12"/>
      <c r="V5" s="12"/>
      <c r="W5" s="25"/>
    </row>
    <row r="6" spans="1:72" x14ac:dyDescent="0.35">
      <c r="C6" t="s">
        <v>47</v>
      </c>
      <c r="F6" t="s">
        <v>48</v>
      </c>
      <c r="I6" s="490"/>
      <c r="J6" s="306" t="s">
        <v>62</v>
      </c>
      <c r="K6" s="307"/>
      <c r="L6" s="307"/>
      <c r="M6" s="12" t="s">
        <v>525</v>
      </c>
      <c r="N6" s="12"/>
      <c r="O6" s="12"/>
      <c r="P6" s="12"/>
      <c r="Q6" s="12"/>
      <c r="R6" s="12"/>
      <c r="S6" s="12"/>
      <c r="T6" s="12"/>
      <c r="U6" s="12"/>
      <c r="V6" s="12"/>
      <c r="W6" s="25"/>
    </row>
    <row r="7" spans="1:72" x14ac:dyDescent="0.35">
      <c r="C7" t="s">
        <v>196</v>
      </c>
      <c r="F7" t="s">
        <v>53</v>
      </c>
      <c r="G7" s="82"/>
      <c r="I7" s="491"/>
      <c r="J7" s="308" t="s">
        <v>33</v>
      </c>
      <c r="K7" s="308"/>
      <c r="L7" s="308"/>
      <c r="M7" s="7" t="s">
        <v>526</v>
      </c>
      <c r="N7" s="7"/>
      <c r="O7" s="7"/>
      <c r="P7" s="7"/>
      <c r="Q7" s="7"/>
      <c r="R7" s="7"/>
      <c r="S7" s="7"/>
      <c r="T7" s="7"/>
      <c r="U7" s="7"/>
      <c r="V7" s="7"/>
      <c r="W7" s="26"/>
    </row>
    <row r="8" spans="1:72" x14ac:dyDescent="0.35">
      <c r="F8" t="s">
        <v>51</v>
      </c>
      <c r="G8" s="74"/>
    </row>
    <row r="9" spans="1:72" x14ac:dyDescent="0.35">
      <c r="F9" t="s">
        <v>55</v>
      </c>
      <c r="G9" s="82"/>
    </row>
    <row r="10" spans="1:72" x14ac:dyDescent="0.35">
      <c r="K10" t="s">
        <v>64</v>
      </c>
      <c r="O10" t="s">
        <v>65</v>
      </c>
      <c r="T10" t="s">
        <v>67</v>
      </c>
      <c r="AA10" t="s">
        <v>15</v>
      </c>
    </row>
    <row r="11" spans="1:72" x14ac:dyDescent="0.35">
      <c r="B11" s="35" t="s">
        <v>63</v>
      </c>
      <c r="C11" s="63" t="s">
        <v>300</v>
      </c>
      <c r="D11" s="63"/>
      <c r="E11" s="63"/>
      <c r="F11" s="63" t="s">
        <v>300</v>
      </c>
      <c r="G11" s="63"/>
      <c r="H11" s="35"/>
      <c r="I11" s="63"/>
      <c r="J11" s="35"/>
      <c r="K11" s="44">
        <f>'Emission Factors'!G9</f>
        <v>2</v>
      </c>
      <c r="L11" s="44" t="str">
        <f>'Emission Factors'!C10</f>
        <v>Natural gas</v>
      </c>
      <c r="M11" s="44">
        <f>'Emission Factors'!G10</f>
        <v>0.49</v>
      </c>
      <c r="N11" s="35"/>
      <c r="O11" s="44">
        <f>'Emission Factors'!G23</f>
        <v>2</v>
      </c>
      <c r="P11" s="44" t="str">
        <f>'Emission Factors'!C24</f>
        <v>Natural gas industrial furnace</v>
      </c>
      <c r="Q11" s="44"/>
      <c r="R11" s="44">
        <f>'Emission Factors'!G24</f>
        <v>0.25</v>
      </c>
      <c r="S11" s="63"/>
      <c r="T11" s="44">
        <f>'Emission Factors'!G30</f>
        <v>2</v>
      </c>
      <c r="U11" s="44" t="str">
        <f>'Emission Factors'!C31</f>
        <v>Steam methane reforming</v>
      </c>
      <c r="V11" s="44"/>
      <c r="W11" s="44">
        <f>'Emission Factors'!G31</f>
        <v>10.62</v>
      </c>
      <c r="X11" s="63"/>
      <c r="Y11" s="35"/>
      <c r="Z11" s="35"/>
      <c r="AA11" s="44">
        <f>'Emission Factors'!G37</f>
        <v>2</v>
      </c>
      <c r="AB11" s="44" t="str">
        <f>'Emission Factors'!C38</f>
        <v>Natural gas power plant</v>
      </c>
      <c r="AC11" s="44">
        <f>'Emission Factors'!G38</f>
        <v>0.18</v>
      </c>
    </row>
    <row r="12" spans="1:72" x14ac:dyDescent="0.35">
      <c r="O12" s="24"/>
      <c r="P12" s="24"/>
      <c r="Q12" s="24"/>
      <c r="R12" s="24"/>
      <c r="S12" s="24"/>
      <c r="T12" s="24"/>
      <c r="U12" s="24"/>
      <c r="V12" s="24"/>
    </row>
    <row r="13" spans="1:72" x14ac:dyDescent="0.35">
      <c r="B13" s="16" t="s">
        <v>46</v>
      </c>
      <c r="C13" s="15"/>
      <c r="D13" s="16" t="s">
        <v>196</v>
      </c>
      <c r="E13" s="15"/>
      <c r="F13" s="15"/>
      <c r="G13" s="15"/>
      <c r="H13" s="15"/>
      <c r="I13" s="15"/>
      <c r="J13" s="15"/>
      <c r="K13" s="15"/>
      <c r="L13" s="15"/>
      <c r="M13" s="15"/>
      <c r="N13" s="15"/>
      <c r="O13" s="15"/>
      <c r="P13" s="15"/>
      <c r="Q13" s="15"/>
      <c r="R13" s="15"/>
      <c r="S13" s="15"/>
      <c r="T13" s="15"/>
      <c r="AN13" s="3" t="s">
        <v>186</v>
      </c>
      <c r="AO13" s="4"/>
      <c r="AP13" s="4"/>
      <c r="AQ13" s="4"/>
      <c r="AR13" s="4"/>
      <c r="AS13" s="4"/>
      <c r="AT13" s="4"/>
      <c r="AU13" s="4"/>
      <c r="AV13" s="4"/>
      <c r="AW13" s="5"/>
      <c r="AX13" s="3" t="s">
        <v>186</v>
      </c>
      <c r="AY13" s="4"/>
      <c r="AZ13" s="4"/>
      <c r="BA13" s="4"/>
      <c r="BB13" s="4"/>
      <c r="BC13" s="5"/>
      <c r="BH13" s="3" t="s">
        <v>186</v>
      </c>
      <c r="BI13" s="4"/>
      <c r="BJ13" s="4" t="s">
        <v>529</v>
      </c>
      <c r="BK13" s="4"/>
      <c r="BL13" s="4"/>
      <c r="BM13" s="5"/>
      <c r="BR13" s="371" t="s">
        <v>186</v>
      </c>
      <c r="BS13" s="371" t="s">
        <v>186</v>
      </c>
      <c r="BT13" s="371" t="s">
        <v>186</v>
      </c>
    </row>
    <row r="14" spans="1:72" x14ac:dyDescent="0.35">
      <c r="AK14" t="s">
        <v>82</v>
      </c>
      <c r="AN14" s="194" t="s">
        <v>616</v>
      </c>
      <c r="AO14" s="12"/>
      <c r="AP14" s="12"/>
      <c r="AQ14" s="12"/>
      <c r="AR14" s="12"/>
      <c r="AS14" s="12"/>
      <c r="AT14" s="12"/>
      <c r="AU14" s="12"/>
      <c r="AV14" s="12"/>
      <c r="AW14" s="25"/>
      <c r="AX14" s="194" t="s">
        <v>597</v>
      </c>
      <c r="AY14" s="12"/>
      <c r="AZ14" s="12"/>
      <c r="BA14" s="12"/>
      <c r="BB14" s="12"/>
      <c r="BC14" s="25"/>
      <c r="BH14" s="194" t="s">
        <v>530</v>
      </c>
      <c r="BI14" s="12"/>
      <c r="BJ14" s="12"/>
      <c r="BK14" s="12"/>
      <c r="BL14" s="12"/>
      <c r="BM14" s="25"/>
      <c r="BR14" s="372" t="s">
        <v>531</v>
      </c>
      <c r="BS14" s="372" t="s">
        <v>531</v>
      </c>
      <c r="BT14" s="372" t="s">
        <v>185</v>
      </c>
    </row>
    <row r="15" spans="1:72" x14ac:dyDescent="0.35">
      <c r="C15" s="41" t="s">
        <v>44</v>
      </c>
      <c r="D15" s="40" t="s">
        <v>55</v>
      </c>
      <c r="E15" s="39"/>
      <c r="F15" s="338" t="s">
        <v>379</v>
      </c>
      <c r="G15" s="39" t="s">
        <v>383</v>
      </c>
      <c r="H15" s="39"/>
      <c r="I15" s="39"/>
      <c r="J15" s="39"/>
      <c r="K15" s="39"/>
      <c r="L15" s="39"/>
      <c r="M15" s="39"/>
      <c r="N15" s="39"/>
      <c r="O15" s="39"/>
      <c r="P15" s="39"/>
      <c r="Q15" s="39"/>
      <c r="R15" s="39"/>
      <c r="S15" s="39"/>
      <c r="T15" s="39"/>
      <c r="AK15" t="s">
        <v>83</v>
      </c>
      <c r="AL15" t="s">
        <v>84</v>
      </c>
      <c r="AM15" t="s">
        <v>85</v>
      </c>
      <c r="AN15" s="11" t="s">
        <v>61</v>
      </c>
      <c r="AO15" s="12" t="s">
        <v>15</v>
      </c>
      <c r="AP15" s="12" t="s">
        <v>143</v>
      </c>
      <c r="AQ15" s="12" t="s">
        <v>60</v>
      </c>
      <c r="AR15" s="12" t="s">
        <v>62</v>
      </c>
      <c r="AS15" s="12" t="s">
        <v>33</v>
      </c>
      <c r="AT15" s="12" t="s">
        <v>136</v>
      </c>
      <c r="AU15" s="12" t="s">
        <v>137</v>
      </c>
      <c r="AV15" s="12" t="s">
        <v>138</v>
      </c>
      <c r="AW15" s="25" t="s">
        <v>139</v>
      </c>
      <c r="AX15" s="11" t="s">
        <v>61</v>
      </c>
      <c r="AY15" s="12" t="s">
        <v>15</v>
      </c>
      <c r="AZ15" s="12" t="s">
        <v>143</v>
      </c>
      <c r="BA15" s="12" t="s">
        <v>60</v>
      </c>
      <c r="BB15" s="12" t="s">
        <v>62</v>
      </c>
      <c r="BC15" s="25" t="s">
        <v>33</v>
      </c>
      <c r="BD15" t="s">
        <v>136</v>
      </c>
      <c r="BE15" t="s">
        <v>137</v>
      </c>
      <c r="BF15" t="s">
        <v>138</v>
      </c>
      <c r="BG15" t="s">
        <v>139</v>
      </c>
      <c r="BH15" s="11" t="s">
        <v>61</v>
      </c>
      <c r="BI15" s="12" t="s">
        <v>15</v>
      </c>
      <c r="BJ15" s="12" t="s">
        <v>143</v>
      </c>
      <c r="BK15" s="12" t="s">
        <v>60</v>
      </c>
      <c r="BL15" s="12" t="s">
        <v>62</v>
      </c>
      <c r="BM15" s="25" t="s">
        <v>33</v>
      </c>
      <c r="BN15" t="s">
        <v>136</v>
      </c>
      <c r="BO15" t="s">
        <v>137</v>
      </c>
      <c r="BP15" t="s">
        <v>138</v>
      </c>
      <c r="BQ15" t="s">
        <v>139</v>
      </c>
      <c r="BR15" s="381" t="s">
        <v>530</v>
      </c>
      <c r="BS15" s="381" t="s">
        <v>597</v>
      </c>
      <c r="BT15" s="381" t="s">
        <v>617</v>
      </c>
    </row>
    <row r="16" spans="1:72" x14ac:dyDescent="0.35">
      <c r="F16" s="319" t="s">
        <v>36</v>
      </c>
      <c r="J16" t="s">
        <v>41</v>
      </c>
      <c r="N16" t="s">
        <v>57</v>
      </c>
      <c r="AK16" t="s">
        <v>250</v>
      </c>
      <c r="AL16" t="str">
        <f>D13</f>
        <v>D-H2</v>
      </c>
      <c r="AM16" t="str">
        <f>D15</f>
        <v>Diesel</v>
      </c>
      <c r="AN16" s="195">
        <f>T18</f>
        <v>-1</v>
      </c>
      <c r="AO16" s="55">
        <f>T20</f>
        <v>0.19999604383431577</v>
      </c>
      <c r="AP16" s="12">
        <v>0</v>
      </c>
      <c r="AQ16" s="55">
        <f>T23</f>
        <v>1.9615468607825297</v>
      </c>
      <c r="AR16" s="55">
        <f>T24</f>
        <v>1</v>
      </c>
      <c r="AS16" s="55">
        <f>T25</f>
        <v>2.1615429046168453</v>
      </c>
      <c r="AT16" s="12"/>
      <c r="AU16" s="12"/>
      <c r="AV16" s="12"/>
      <c r="AW16" s="25"/>
      <c r="AX16" s="376">
        <f>R18</f>
        <v>-3.1596249999999997</v>
      </c>
      <c r="AY16" s="128">
        <f>R20</f>
        <v>0.63191249999999988</v>
      </c>
      <c r="AZ16" s="12">
        <v>0</v>
      </c>
      <c r="BA16" s="128">
        <f>R23</f>
        <v>6.1977525</v>
      </c>
      <c r="BB16" s="12">
        <f>R24</f>
        <v>3.1596249999999997</v>
      </c>
      <c r="BC16" s="377">
        <f>R25</f>
        <v>6.8296650000000003</v>
      </c>
      <c r="BH16" s="195">
        <f>U18</f>
        <v>-7.3059981039147223E-2</v>
      </c>
      <c r="BI16" s="55">
        <f>U20</f>
        <v>1.4611707170439565E-2</v>
      </c>
      <c r="BJ16" s="12">
        <v>0</v>
      </c>
      <c r="BK16" s="55">
        <f>U23</f>
        <v>0.14331057645617037</v>
      </c>
      <c r="BL16" s="55">
        <f>U24</f>
        <v>7.3059981039147223E-2</v>
      </c>
      <c r="BM16" s="191">
        <f>U25</f>
        <v>0.15792228362660993</v>
      </c>
      <c r="BR16" s="373">
        <f>Incumbents!L23-U25</f>
        <v>-7.3183779057798673E-2</v>
      </c>
      <c r="BS16" s="378">
        <f>Incumbents!I23-R25</f>
        <v>-3.1649788929126199</v>
      </c>
      <c r="BT16" s="378">
        <f>BS16*Constants!$C$9*0.5</f>
        <v>-1.8198628634247562</v>
      </c>
    </row>
    <row r="17" spans="1:72" x14ac:dyDescent="0.35">
      <c r="A17" t="s">
        <v>58</v>
      </c>
      <c r="C17" s="7" t="s">
        <v>27</v>
      </c>
      <c r="D17" s="7"/>
      <c r="E17" s="7"/>
      <c r="F17" s="325" t="s">
        <v>34</v>
      </c>
      <c r="G17" s="7" t="s">
        <v>35</v>
      </c>
      <c r="H17" s="7"/>
      <c r="I17" s="7"/>
      <c r="J17" s="7" t="s">
        <v>34</v>
      </c>
      <c r="K17" s="7" t="s">
        <v>35</v>
      </c>
      <c r="L17" s="7"/>
      <c r="M17" s="7"/>
      <c r="N17" s="7" t="s">
        <v>34</v>
      </c>
      <c r="O17" s="7" t="s">
        <v>35</v>
      </c>
      <c r="P17" s="7"/>
      <c r="Q17" s="7"/>
      <c r="R17" s="64" t="s">
        <v>79</v>
      </c>
      <c r="S17" s="7"/>
      <c r="T17" s="64" t="s">
        <v>80</v>
      </c>
      <c r="U17" t="s">
        <v>530</v>
      </c>
      <c r="AK17" t="s">
        <v>250</v>
      </c>
      <c r="AL17" t="str">
        <f>D13</f>
        <v>D-H2</v>
      </c>
      <c r="AM17" t="str">
        <f>D33</f>
        <v>Methane</v>
      </c>
      <c r="AN17" s="195">
        <f>T36</f>
        <v>-1</v>
      </c>
      <c r="AO17" s="55">
        <f>T38</f>
        <v>0.19999999999999998</v>
      </c>
      <c r="AP17" s="12">
        <v>0</v>
      </c>
      <c r="AQ17" s="55">
        <f>T41</f>
        <v>2.1789474747474746</v>
      </c>
      <c r="AR17" s="55">
        <f>T42</f>
        <v>1</v>
      </c>
      <c r="AS17" s="55">
        <f>T43</f>
        <v>2.3789474747474744</v>
      </c>
      <c r="AT17" s="12">
        <f>IF(J45="Natural Gas",Z43,"")</f>
        <v>4.6965174129353233</v>
      </c>
      <c r="AU17" s="12">
        <f>IF(J45="Natural Gas",Z44,"")</f>
        <v>4.9303482587064682</v>
      </c>
      <c r="AV17" s="12">
        <f>IF(J45="Natural Gas",Z45,"")</f>
        <v>5.1990049751243781</v>
      </c>
      <c r="AW17" s="25"/>
      <c r="AX17" s="11">
        <f>R36</f>
        <v>-2.75</v>
      </c>
      <c r="AY17" s="55">
        <f>R38</f>
        <v>0.54999999999999993</v>
      </c>
      <c r="AZ17" s="12">
        <v>0</v>
      </c>
      <c r="BA17" s="55">
        <f>R41</f>
        <v>5.9921055555555558</v>
      </c>
      <c r="BB17" s="55">
        <f>R42</f>
        <v>2.75</v>
      </c>
      <c r="BC17" s="191">
        <f>R43</f>
        <v>6.5421055555555556</v>
      </c>
      <c r="BH17" s="195">
        <f>U36</f>
        <v>-5.5E-2</v>
      </c>
      <c r="BI17" s="55">
        <f>U38</f>
        <v>1.0999999999999999E-2</v>
      </c>
      <c r="BJ17" s="12">
        <v>0</v>
      </c>
      <c r="BK17" s="55">
        <f>U41</f>
        <v>0.11984211111111112</v>
      </c>
      <c r="BL17" s="55">
        <f>U42</f>
        <v>5.5E-2</v>
      </c>
      <c r="BM17" s="191">
        <f>U43</f>
        <v>0.13084211111111113</v>
      </c>
      <c r="BR17" s="373">
        <f>Incumbents!L39-U43</f>
        <v>-6.0931317441771937E-2</v>
      </c>
      <c r="BS17" s="373">
        <f>Incumbents!I39-R43</f>
        <v>-3.5186734617376434</v>
      </c>
      <c r="BT17" s="378">
        <f>BS17*Constants!$C$10*0.5</f>
        <v>-4.7853959079631956</v>
      </c>
    </row>
    <row r="18" spans="1:72" x14ac:dyDescent="0.35">
      <c r="A18" t="s">
        <v>61</v>
      </c>
      <c r="C18" s="18" t="s">
        <v>28</v>
      </c>
      <c r="D18" s="4"/>
      <c r="E18" s="4"/>
      <c r="F18" s="339">
        <v>3.1596249999999997</v>
      </c>
      <c r="G18" s="4" t="s">
        <v>102</v>
      </c>
      <c r="H18" s="4"/>
      <c r="I18" s="4"/>
      <c r="J18" s="61">
        <f>F18</f>
        <v>3.1596249999999997</v>
      </c>
      <c r="K18" s="4" t="s">
        <v>102</v>
      </c>
      <c r="L18" s="4"/>
      <c r="M18" s="4"/>
      <c r="N18" s="417">
        <f t="shared" ref="N18:N24" si="0">J18</f>
        <v>3.1596249999999997</v>
      </c>
      <c r="O18" s="4" t="s">
        <v>102</v>
      </c>
      <c r="P18" s="4"/>
      <c r="Q18" s="4"/>
      <c r="R18" s="61">
        <f>-N18</f>
        <v>-3.1596249999999997</v>
      </c>
      <c r="S18" s="4"/>
      <c r="T18" s="52">
        <f>-R18/$R$18</f>
        <v>-1</v>
      </c>
      <c r="U18" s="51">
        <f>R18/'Energy &amp; Unit Conversions'!$E$14</f>
        <v>-7.3059981039147223E-2</v>
      </c>
      <c r="AK18" t="s">
        <v>250</v>
      </c>
      <c r="AL18" t="str">
        <f>D13</f>
        <v>D-H2</v>
      </c>
      <c r="AM18" t="str">
        <f>D51</f>
        <v>Methanol</v>
      </c>
      <c r="AN18" s="375">
        <f>T54</f>
        <v>-1</v>
      </c>
      <c r="AO18" s="33">
        <f>T56</f>
        <v>0.19179541822056473</v>
      </c>
      <c r="AP18" s="7">
        <v>0</v>
      </c>
      <c r="AQ18" s="33">
        <f>T62</f>
        <v>2.078823523244187</v>
      </c>
      <c r="AR18" s="33">
        <f>T63</f>
        <v>0.99806399290519698</v>
      </c>
      <c r="AS18" s="33">
        <f>T64</f>
        <v>2.2686829343699486</v>
      </c>
      <c r="AT18" s="7">
        <f>IF(J66="Natural Gas",Z64,"")</f>
        <v>3.3305084745762716</v>
      </c>
      <c r="AU18" s="7">
        <f>IF(J66="Natural Gas",Z65,"")</f>
        <v>3.8474576271186445</v>
      </c>
      <c r="AV18" s="7">
        <f>IF(J66="Natural Gas",Z66,"")</f>
        <v>4.1822033898305087</v>
      </c>
      <c r="AW18" s="26">
        <f>IF(J66="Natural Gas",Z67,"")</f>
        <v>4.9406779661016955</v>
      </c>
      <c r="AX18" s="375">
        <f>R54</f>
        <v>-1.3702099999999999</v>
      </c>
      <c r="AY18" s="33">
        <f>R56</f>
        <v>0.26279999999999998</v>
      </c>
      <c r="AZ18" s="7">
        <v>0</v>
      </c>
      <c r="BA18" s="33">
        <f>R62</f>
        <v>2.8484247797844171</v>
      </c>
      <c r="BB18" s="33">
        <f>R63</f>
        <v>1.36755726371863</v>
      </c>
      <c r="BC18" s="234">
        <f>R64</f>
        <v>3.1085720435030471</v>
      </c>
      <c r="BH18" s="375">
        <f>U54</f>
        <v>-6.8190006967253899E-2</v>
      </c>
      <c r="BI18" s="33">
        <f>U56</f>
        <v>1.3078530904747684E-2</v>
      </c>
      <c r="BJ18" s="7">
        <v>0</v>
      </c>
      <c r="BK18" s="33">
        <f>U62</f>
        <v>0.1417549905337124</v>
      </c>
      <c r="BL18" s="33">
        <f>U63</f>
        <v>6.805799062997063E-2</v>
      </c>
      <c r="BM18" s="234">
        <f>U64</f>
        <v>0.15470150510117681</v>
      </c>
      <c r="BR18" s="374">
        <f>Incumbents!L47-U64</f>
        <v>-7.187007524223557E-2</v>
      </c>
      <c r="BS18" s="374">
        <f>Incumbents!I47-R64</f>
        <v>-1.4441572919174819</v>
      </c>
      <c r="BT18" s="379">
        <f>BS18*Constants!$C$11*0.5</f>
        <v>-5.0545505217111868E-2</v>
      </c>
    </row>
    <row r="19" spans="1:72" x14ac:dyDescent="0.35">
      <c r="C19" s="12" t="s">
        <v>104</v>
      </c>
      <c r="D19" s="12"/>
      <c r="E19" s="12"/>
      <c r="F19" s="324">
        <v>0.35099999999999998</v>
      </c>
      <c r="G19" s="12" t="s">
        <v>607</v>
      </c>
      <c r="H19" s="12"/>
      <c r="I19" s="12"/>
      <c r="J19" s="128">
        <f>F19</f>
        <v>0.35099999999999998</v>
      </c>
      <c r="K19" s="12" t="s">
        <v>102</v>
      </c>
      <c r="L19" s="12"/>
      <c r="M19" s="12"/>
      <c r="N19" s="418">
        <f t="shared" si="0"/>
        <v>0.35099999999999998</v>
      </c>
      <c r="O19" s="12" t="s">
        <v>102</v>
      </c>
      <c r="P19" s="12"/>
      <c r="Q19" s="12"/>
      <c r="R19" s="12"/>
      <c r="S19" s="12"/>
      <c r="T19" s="55"/>
      <c r="U19" s="12"/>
    </row>
    <row r="20" spans="1:72" x14ac:dyDescent="0.35">
      <c r="A20" t="s">
        <v>15</v>
      </c>
      <c r="C20" s="19" t="s">
        <v>29</v>
      </c>
      <c r="D20" s="7"/>
      <c r="E20" s="7"/>
      <c r="F20" s="346">
        <f>K28</f>
        <v>0.18</v>
      </c>
      <c r="G20" s="32" t="s">
        <v>38</v>
      </c>
      <c r="H20" s="7"/>
      <c r="I20" s="7"/>
      <c r="J20" s="7">
        <f>F20</f>
        <v>0.18</v>
      </c>
      <c r="K20" s="32" t="s">
        <v>38</v>
      </c>
      <c r="L20" s="7"/>
      <c r="M20" s="7"/>
      <c r="N20" s="89">
        <f t="shared" si="0"/>
        <v>0.18</v>
      </c>
      <c r="O20" s="32" t="s">
        <v>38</v>
      </c>
      <c r="P20" s="7"/>
      <c r="Q20" s="7"/>
      <c r="R20" s="60">
        <f>N20*(N18+N19)</f>
        <v>0.63191249999999988</v>
      </c>
      <c r="S20" s="7"/>
      <c r="T20" s="94">
        <f>-R20/$R$18</f>
        <v>0.19999604383431577</v>
      </c>
      <c r="U20" s="33">
        <f>R20/'Energy &amp; Unit Conversions'!$E$14</f>
        <v>1.4611707170439565E-2</v>
      </c>
    </row>
    <row r="21" spans="1:72" x14ac:dyDescent="0.35">
      <c r="A21" s="48"/>
      <c r="C21" s="58" t="s">
        <v>249</v>
      </c>
      <c r="F21" s="340">
        <v>0.42837500000000001</v>
      </c>
      <c r="G21" s="58" t="s">
        <v>610</v>
      </c>
      <c r="J21" s="59">
        <f>F21</f>
        <v>0.42837500000000001</v>
      </c>
      <c r="K21" s="58" t="s">
        <v>610</v>
      </c>
      <c r="N21" s="125">
        <f>'Main Input &amp; Output'!D163</f>
        <v>0.42837500000000001</v>
      </c>
      <c r="O21" s="58" t="s">
        <v>610</v>
      </c>
      <c r="R21" s="59"/>
      <c r="T21" s="2"/>
      <c r="U21" s="2"/>
    </row>
    <row r="22" spans="1:72" x14ac:dyDescent="0.35">
      <c r="A22" s="48"/>
      <c r="C22" s="28" t="s">
        <v>248</v>
      </c>
      <c r="D22" s="12"/>
      <c r="E22" s="12"/>
      <c r="F22" s="348">
        <f>K29</f>
        <v>10.62</v>
      </c>
      <c r="G22" s="12" t="s">
        <v>611</v>
      </c>
      <c r="H22" s="12"/>
      <c r="I22" s="12"/>
      <c r="J22" s="128">
        <f>F22</f>
        <v>10.62</v>
      </c>
      <c r="K22" s="12" t="s">
        <v>612</v>
      </c>
      <c r="L22" s="12"/>
      <c r="M22" s="12"/>
      <c r="N22" s="205">
        <f t="shared" si="0"/>
        <v>10.62</v>
      </c>
      <c r="O22" s="12" t="s">
        <v>612</v>
      </c>
      <c r="P22" s="12"/>
      <c r="Q22" s="12"/>
      <c r="R22" s="128"/>
      <c r="S22" s="12"/>
      <c r="T22" s="66"/>
      <c r="U22" s="55"/>
    </row>
    <row r="23" spans="1:72" x14ac:dyDescent="0.35">
      <c r="A23" s="48"/>
      <c r="C23" s="21" t="s">
        <v>101</v>
      </c>
      <c r="D23" s="7"/>
      <c r="E23" s="7"/>
      <c r="F23" s="333">
        <v>0.03</v>
      </c>
      <c r="G23" s="7" t="s">
        <v>607</v>
      </c>
      <c r="H23" s="7"/>
      <c r="I23" s="7"/>
      <c r="J23" s="60">
        <f>F23*'Energy &amp; Unit Conversions'!E14</f>
        <v>1.29741</v>
      </c>
      <c r="K23" s="7" t="s">
        <v>102</v>
      </c>
      <c r="L23" s="7"/>
      <c r="M23" s="7"/>
      <c r="N23" s="126">
        <f t="shared" si="0"/>
        <v>1.29741</v>
      </c>
      <c r="O23" s="7" t="s">
        <v>102</v>
      </c>
      <c r="P23" s="7"/>
      <c r="Q23" s="7"/>
      <c r="R23" s="60">
        <f>N22*N21+N23+N19</f>
        <v>6.1977525</v>
      </c>
      <c r="S23" s="7"/>
      <c r="T23" s="127">
        <f>-R23/$R$18</f>
        <v>1.9615468607825297</v>
      </c>
      <c r="U23" s="33">
        <f>R23/'Energy &amp; Unit Conversions'!$E$14</f>
        <v>0.14331057645617037</v>
      </c>
    </row>
    <row r="24" spans="1:72" x14ac:dyDescent="0.35">
      <c r="A24" s="31"/>
      <c r="C24" s="34" t="s">
        <v>73</v>
      </c>
      <c r="D24" s="35"/>
      <c r="E24" s="35"/>
      <c r="F24" s="341">
        <f>F18</f>
        <v>3.1596249999999997</v>
      </c>
      <c r="G24" s="53" t="s">
        <v>102</v>
      </c>
      <c r="H24" s="35"/>
      <c r="I24" s="35"/>
      <c r="J24" s="36">
        <f>F24</f>
        <v>3.1596249999999997</v>
      </c>
      <c r="K24" s="53" t="s">
        <v>102</v>
      </c>
      <c r="L24" s="35"/>
      <c r="M24" s="35"/>
      <c r="N24" s="36">
        <f t="shared" si="0"/>
        <v>3.1596249999999997</v>
      </c>
      <c r="O24" s="53" t="s">
        <v>102</v>
      </c>
      <c r="P24" s="35"/>
      <c r="Q24" s="35"/>
      <c r="R24" s="36">
        <f>N24</f>
        <v>3.1596249999999997</v>
      </c>
      <c r="S24" s="35"/>
      <c r="T24" s="104">
        <f>-R24/$R$18</f>
        <v>1</v>
      </c>
      <c r="U24" s="36">
        <f>R24/'Energy &amp; Unit Conversions'!$E$14</f>
        <v>7.3059981039147223E-2</v>
      </c>
    </row>
    <row r="25" spans="1:72" x14ac:dyDescent="0.35">
      <c r="A25" s="31"/>
      <c r="C25" s="34" t="s">
        <v>33</v>
      </c>
      <c r="D25" s="35"/>
      <c r="E25" s="35"/>
      <c r="F25" s="328"/>
      <c r="G25" s="35"/>
      <c r="H25" s="35"/>
      <c r="I25" s="35"/>
      <c r="J25" s="35"/>
      <c r="K25" s="35"/>
      <c r="L25" s="35"/>
      <c r="M25" s="35"/>
      <c r="N25" s="35"/>
      <c r="O25" s="35"/>
      <c r="P25" s="35"/>
      <c r="Q25" s="35"/>
      <c r="R25" s="62">
        <f>SUM(R18:R24)</f>
        <v>6.8296650000000003</v>
      </c>
      <c r="S25" s="35"/>
      <c r="T25" s="103">
        <f>SUM(T18:T24)</f>
        <v>2.1615429046168453</v>
      </c>
      <c r="U25" s="36">
        <f>SUM(U18:U24)</f>
        <v>0.15792228362660993</v>
      </c>
    </row>
    <row r="26" spans="1:72" x14ac:dyDescent="0.35">
      <c r="F26" s="319"/>
    </row>
    <row r="27" spans="1:72" hidden="1" x14ac:dyDescent="0.35">
      <c r="C27" s="28"/>
      <c r="F27" s="319"/>
      <c r="J27" s="58"/>
      <c r="K27" s="12"/>
    </row>
    <row r="28" spans="1:72" x14ac:dyDescent="0.35">
      <c r="C28" s="28" t="s">
        <v>15</v>
      </c>
      <c r="F28" s="319"/>
      <c r="I28" s="43">
        <f>AA11</f>
        <v>2</v>
      </c>
      <c r="J28" s="24" t="str">
        <f>VLOOKUP(I28,'Emission Factors'!B34:C36,2,FALSE)</f>
        <v>Natural gas power plant</v>
      </c>
      <c r="K28">
        <f>VLOOKUP(I28,'Emission Factors'!F34:G36,2,FALSE)</f>
        <v>0.18</v>
      </c>
    </row>
    <row r="29" spans="1:72" x14ac:dyDescent="0.35">
      <c r="C29" s="28" t="s">
        <v>248</v>
      </c>
      <c r="F29" s="319"/>
      <c r="I29" s="43">
        <f>T11</f>
        <v>2</v>
      </c>
      <c r="J29" s="24" t="str">
        <f>VLOOKUP(I29,'Emission Factors'!B27:C29,2,FALSE)</f>
        <v>Steam methane reforming</v>
      </c>
      <c r="K29">
        <f>VLOOKUP(I29,'Emission Factors'!F27:G29,2,FALSE)</f>
        <v>10.62</v>
      </c>
    </row>
    <row r="30" spans="1:72" x14ac:dyDescent="0.35">
      <c r="F30" s="319"/>
    </row>
    <row r="31" spans="1:72" x14ac:dyDescent="0.35">
      <c r="C31" s="28"/>
      <c r="F31" s="319"/>
    </row>
    <row r="32" spans="1:72" x14ac:dyDescent="0.35">
      <c r="F32" s="319"/>
    </row>
    <row r="33" spans="3:28" x14ac:dyDescent="0.35">
      <c r="C33" s="41" t="s">
        <v>44</v>
      </c>
      <c r="D33" s="40" t="s">
        <v>51</v>
      </c>
      <c r="E33" s="40"/>
      <c r="F33" s="342" t="s">
        <v>379</v>
      </c>
      <c r="G33" s="237" t="s">
        <v>382</v>
      </c>
      <c r="H33" s="40"/>
      <c r="I33" s="40"/>
      <c r="J33" s="40"/>
      <c r="K33" s="40"/>
      <c r="L33" s="40"/>
      <c r="M33" s="40"/>
      <c r="N33" s="40"/>
      <c r="O33" s="40"/>
      <c r="P33" s="40"/>
      <c r="Q33" s="40"/>
      <c r="R33" s="40"/>
      <c r="S33" s="40"/>
      <c r="T33" s="40"/>
    </row>
    <row r="34" spans="3:28" x14ac:dyDescent="0.35">
      <c r="F34" s="319" t="s">
        <v>36</v>
      </c>
      <c r="J34" t="s">
        <v>41</v>
      </c>
      <c r="N34" t="s">
        <v>57</v>
      </c>
    </row>
    <row r="35" spans="3:28" x14ac:dyDescent="0.35">
      <c r="C35" t="s">
        <v>27</v>
      </c>
      <c r="F35" s="319" t="s">
        <v>34</v>
      </c>
      <c r="G35" t="s">
        <v>35</v>
      </c>
      <c r="J35" s="12" t="s">
        <v>34</v>
      </c>
      <c r="K35" t="s">
        <v>35</v>
      </c>
      <c r="N35" s="12" t="s">
        <v>34</v>
      </c>
      <c r="O35" t="s">
        <v>35</v>
      </c>
      <c r="R35" s="37" t="s">
        <v>597</v>
      </c>
      <c r="T35" s="37" t="s">
        <v>598</v>
      </c>
      <c r="U35" t="s">
        <v>599</v>
      </c>
    </row>
    <row r="36" spans="3:28" x14ac:dyDescent="0.35">
      <c r="C36" s="18" t="s">
        <v>28</v>
      </c>
      <c r="D36" s="4"/>
      <c r="E36" s="4"/>
      <c r="F36" s="323">
        <f>2.75</f>
        <v>2.75</v>
      </c>
      <c r="G36" s="4" t="s">
        <v>605</v>
      </c>
      <c r="H36" s="4"/>
      <c r="I36" s="4"/>
      <c r="J36" s="4">
        <f t="shared" ref="J36:J42" si="1">F36</f>
        <v>2.75</v>
      </c>
      <c r="K36" s="4" t="s">
        <v>605</v>
      </c>
      <c r="L36" s="4"/>
      <c r="M36" s="4"/>
      <c r="N36" s="326">
        <f t="shared" ref="N36:N42" si="2">J36</f>
        <v>2.75</v>
      </c>
      <c r="O36" s="4" t="s">
        <v>605</v>
      </c>
      <c r="P36" s="4"/>
      <c r="Q36" s="4"/>
      <c r="R36" s="4">
        <f>-N36</f>
        <v>-2.75</v>
      </c>
      <c r="S36" s="4"/>
      <c r="T36" s="52">
        <f>-R36/$R$36</f>
        <v>-1</v>
      </c>
      <c r="U36" s="2">
        <f>R36/'Energy &amp; Unit Conversions'!$E$10</f>
        <v>-5.5E-2</v>
      </c>
    </row>
    <row r="37" spans="3:28" x14ac:dyDescent="0.35">
      <c r="C37" s="12" t="s">
        <v>104</v>
      </c>
      <c r="D37" s="12"/>
      <c r="E37" s="12"/>
      <c r="F37" s="324">
        <f>F36*10/90</f>
        <v>0.30555555555555558</v>
      </c>
      <c r="G37" s="12" t="s">
        <v>605</v>
      </c>
      <c r="H37" s="12"/>
      <c r="I37" s="12"/>
      <c r="J37" s="55">
        <f t="shared" si="1"/>
        <v>0.30555555555555558</v>
      </c>
      <c r="K37" s="12" t="s">
        <v>605</v>
      </c>
      <c r="L37" s="12"/>
      <c r="M37" s="12"/>
      <c r="N37" s="330">
        <f t="shared" si="2"/>
        <v>0.30555555555555558</v>
      </c>
      <c r="O37" s="12" t="s">
        <v>605</v>
      </c>
      <c r="P37" s="12"/>
      <c r="Q37" s="12"/>
      <c r="R37" s="12"/>
      <c r="S37" s="12"/>
      <c r="T37" s="55"/>
      <c r="U37" s="2"/>
    </row>
    <row r="38" spans="3:28" x14ac:dyDescent="0.35">
      <c r="C38" s="19" t="s">
        <v>29</v>
      </c>
      <c r="D38" s="7"/>
      <c r="E38" s="7"/>
      <c r="F38" s="346">
        <f>K46</f>
        <v>0.18</v>
      </c>
      <c r="G38" s="32" t="s">
        <v>38</v>
      </c>
      <c r="H38" s="7"/>
      <c r="I38" s="7"/>
      <c r="J38" s="7">
        <f t="shared" si="1"/>
        <v>0.18</v>
      </c>
      <c r="K38" s="32" t="s">
        <v>38</v>
      </c>
      <c r="L38" s="7"/>
      <c r="M38" s="7"/>
      <c r="N38" s="89">
        <f t="shared" si="2"/>
        <v>0.18</v>
      </c>
      <c r="O38" s="32" t="s">
        <v>38</v>
      </c>
      <c r="P38" s="7"/>
      <c r="Q38" s="7"/>
      <c r="R38" s="33">
        <f>N38*(N36+N37)</f>
        <v>0.54999999999999993</v>
      </c>
      <c r="S38" s="7"/>
      <c r="T38" s="94">
        <f>-R38/$R$36</f>
        <v>0.19999999999999998</v>
      </c>
      <c r="U38" s="2">
        <f>R38/'Energy &amp; Unit Conversions'!$E$10</f>
        <v>1.0999999999999999E-2</v>
      </c>
    </row>
    <row r="39" spans="3:28" x14ac:dyDescent="0.35">
      <c r="C39" s="18" t="s">
        <v>106</v>
      </c>
      <c r="D39" s="4"/>
      <c r="E39" s="4"/>
      <c r="F39" s="326">
        <v>0.52</v>
      </c>
      <c r="G39" s="4" t="s">
        <v>604</v>
      </c>
      <c r="H39" s="4"/>
      <c r="I39" s="4"/>
      <c r="J39" s="4">
        <f t="shared" si="1"/>
        <v>0.52</v>
      </c>
      <c r="K39" s="4" t="s">
        <v>604</v>
      </c>
      <c r="L39" s="4"/>
      <c r="M39" s="4"/>
      <c r="N39" s="67">
        <f>'Main Input &amp; Output'!D168</f>
        <v>0.52</v>
      </c>
      <c r="O39" s="4" t="s">
        <v>604</v>
      </c>
      <c r="P39" s="4"/>
      <c r="Q39" s="4"/>
      <c r="R39" s="4"/>
      <c r="S39" s="4"/>
      <c r="T39" s="51"/>
      <c r="U39" s="2"/>
    </row>
    <row r="40" spans="3:28" x14ac:dyDescent="0.35">
      <c r="C40" s="28" t="s">
        <v>248</v>
      </c>
      <c r="D40" s="12"/>
      <c r="E40" s="12"/>
      <c r="F40" s="349">
        <f>K47</f>
        <v>10.62</v>
      </c>
      <c r="G40" s="12" t="s">
        <v>612</v>
      </c>
      <c r="H40" s="12"/>
      <c r="I40" s="12"/>
      <c r="J40" s="55">
        <f t="shared" si="1"/>
        <v>10.62</v>
      </c>
      <c r="K40" s="12" t="s">
        <v>612</v>
      </c>
      <c r="L40" s="12"/>
      <c r="M40" s="12"/>
      <c r="N40" s="66">
        <f t="shared" si="2"/>
        <v>10.62</v>
      </c>
      <c r="O40" s="12" t="s">
        <v>612</v>
      </c>
      <c r="P40" s="12"/>
      <c r="Q40" s="12"/>
      <c r="R40" s="55"/>
      <c r="S40" s="12"/>
      <c r="T40" s="66"/>
      <c r="U40" s="2"/>
    </row>
    <row r="41" spans="3:28" x14ac:dyDescent="0.35">
      <c r="C41" s="21" t="s">
        <v>72</v>
      </c>
      <c r="D41" s="7"/>
      <c r="E41" s="7"/>
      <c r="F41" s="325">
        <v>0.33500000000000002</v>
      </c>
      <c r="G41" s="7" t="s">
        <v>254</v>
      </c>
      <c r="H41" s="7"/>
      <c r="I41" s="7"/>
      <c r="J41" s="33">
        <f t="shared" si="1"/>
        <v>0.33500000000000002</v>
      </c>
      <c r="K41" s="7" t="s">
        <v>254</v>
      </c>
      <c r="L41" s="7"/>
      <c r="M41" s="7"/>
      <c r="N41" s="45">
        <f>'Main Input &amp; Output'!D167</f>
        <v>0.33500000000000002</v>
      </c>
      <c r="O41" s="7" t="s">
        <v>254</v>
      </c>
      <c r="P41" s="7"/>
      <c r="Q41" s="7"/>
      <c r="R41" s="33">
        <f>N41*K45+N39*N40+N37</f>
        <v>5.9921055555555558</v>
      </c>
      <c r="S41" s="7"/>
      <c r="T41" s="127">
        <f>-R41/$R$36</f>
        <v>2.1789474747474746</v>
      </c>
      <c r="U41" s="2">
        <f>R41/'Energy &amp; Unit Conversions'!$E$10</f>
        <v>0.11984211111111112</v>
      </c>
      <c r="W41" t="s">
        <v>125</v>
      </c>
      <c r="Z41" s="492" t="s">
        <v>598</v>
      </c>
      <c r="AA41" s="492"/>
      <c r="AB41" s="493"/>
    </row>
    <row r="42" spans="3:28" x14ac:dyDescent="0.35">
      <c r="C42" s="34" t="s">
        <v>73</v>
      </c>
      <c r="D42" s="35"/>
      <c r="E42" s="35"/>
      <c r="F42" s="314">
        <f>'Emission Factors'!S7</f>
        <v>2.75</v>
      </c>
      <c r="G42" t="s">
        <v>605</v>
      </c>
      <c r="H42" s="35"/>
      <c r="I42" s="35"/>
      <c r="J42" s="36">
        <f t="shared" si="1"/>
        <v>2.75</v>
      </c>
      <c r="K42" t="s">
        <v>605</v>
      </c>
      <c r="L42" s="35"/>
      <c r="M42" s="35"/>
      <c r="N42" s="36">
        <f t="shared" si="2"/>
        <v>2.75</v>
      </c>
      <c r="O42" t="s">
        <v>605</v>
      </c>
      <c r="P42" s="35"/>
      <c r="Q42" s="35"/>
      <c r="R42" s="36">
        <f>N42</f>
        <v>2.75</v>
      </c>
      <c r="S42" s="35"/>
      <c r="T42" s="104">
        <f>-R42/$R$36</f>
        <v>1</v>
      </c>
      <c r="U42" s="2">
        <f>R42/'Energy &amp; Unit Conversions'!$E$10</f>
        <v>5.5E-2</v>
      </c>
      <c r="Z42" s="109" t="s">
        <v>213</v>
      </c>
      <c r="AA42" s="109" t="s">
        <v>214</v>
      </c>
      <c r="AB42" s="112" t="s">
        <v>215</v>
      </c>
    </row>
    <row r="43" spans="3:28" x14ac:dyDescent="0.35">
      <c r="C43" s="34" t="s">
        <v>33</v>
      </c>
      <c r="D43" s="35"/>
      <c r="E43" s="35"/>
      <c r="F43" s="328"/>
      <c r="G43" s="35"/>
      <c r="H43" s="35"/>
      <c r="I43" s="35"/>
      <c r="J43" s="35"/>
      <c r="K43" s="35"/>
      <c r="L43" s="35"/>
      <c r="M43" s="35"/>
      <c r="N43" s="35"/>
      <c r="O43" s="35"/>
      <c r="P43" s="35"/>
      <c r="Q43" s="35"/>
      <c r="R43" s="36">
        <f>SUM(R36:R42)</f>
        <v>6.5421055555555556</v>
      </c>
      <c r="S43" s="35"/>
      <c r="T43" s="103">
        <f>SUM(T36:T42)</f>
        <v>2.3789474747474744</v>
      </c>
      <c r="U43" s="2">
        <f>SUM(U36:U42)</f>
        <v>0.13084211111111113</v>
      </c>
      <c r="W43" t="s">
        <v>417</v>
      </c>
      <c r="Z43" s="116">
        <v>4.6965174129353233</v>
      </c>
      <c r="AA43" s="113"/>
      <c r="AB43" s="114"/>
    </row>
    <row r="44" spans="3:28" x14ac:dyDescent="0.35">
      <c r="F44" s="319"/>
      <c r="W44" t="s">
        <v>418</v>
      </c>
      <c r="Z44" s="2">
        <v>4.9303482587064682</v>
      </c>
      <c r="AA44" s="113"/>
      <c r="AB44" s="114"/>
    </row>
    <row r="45" spans="3:28" x14ac:dyDescent="0.35">
      <c r="C45" s="28" t="s">
        <v>81</v>
      </c>
      <c r="F45" s="319"/>
      <c r="I45" s="43">
        <f>K11</f>
        <v>2</v>
      </c>
      <c r="J45" s="58" t="str">
        <f>VLOOKUP(I45,'Emission Factors'!B6:C8,2,FALSE)</f>
        <v>Natural gas</v>
      </c>
      <c r="K45" s="12">
        <f>VLOOKUP(I45,'Emission Factors'!F6:G8,2,FALSE)</f>
        <v>0.49</v>
      </c>
      <c r="M45" t="s">
        <v>441</v>
      </c>
      <c r="W45" t="s">
        <v>416</v>
      </c>
      <c r="Z45" s="2">
        <v>5.1990049751243781</v>
      </c>
      <c r="AA45" s="113"/>
      <c r="AB45" s="114"/>
    </row>
    <row r="46" spans="3:28" x14ac:dyDescent="0.35">
      <c r="C46" s="28" t="s">
        <v>15</v>
      </c>
      <c r="F46" s="319"/>
      <c r="I46" s="43">
        <f>AA11</f>
        <v>2</v>
      </c>
      <c r="J46" s="24" t="str">
        <f>VLOOKUP(I46,'Emission Factors'!B34:C36,2,FALSE)</f>
        <v>Natural gas power plant</v>
      </c>
      <c r="K46">
        <f>VLOOKUP(I46,'Emission Factors'!F34:G36,2,FALSE)</f>
        <v>0.18</v>
      </c>
    </row>
    <row r="47" spans="3:28" x14ac:dyDescent="0.35">
      <c r="C47" s="28" t="s">
        <v>248</v>
      </c>
      <c r="F47" s="319"/>
      <c r="I47" s="43">
        <f>T11</f>
        <v>2</v>
      </c>
      <c r="J47" s="24" t="str">
        <f>VLOOKUP(I47,'Emission Factors'!B27:C29,2,FALSE)</f>
        <v>Steam methane reforming</v>
      </c>
      <c r="K47">
        <f>VLOOKUP(I47,'Emission Factors'!F27:G29,2,FALSE)</f>
        <v>10.62</v>
      </c>
    </row>
    <row r="48" spans="3:28" x14ac:dyDescent="0.35">
      <c r="F48" s="319"/>
    </row>
    <row r="49" spans="3:28" x14ac:dyDescent="0.35">
      <c r="F49" s="319"/>
    </row>
    <row r="50" spans="3:28" x14ac:dyDescent="0.35">
      <c r="F50" s="319"/>
    </row>
    <row r="51" spans="3:28" x14ac:dyDescent="0.35">
      <c r="C51" s="41" t="s">
        <v>44</v>
      </c>
      <c r="D51" s="40" t="s">
        <v>53</v>
      </c>
      <c r="E51" s="40"/>
      <c r="F51" s="342" t="s">
        <v>379</v>
      </c>
      <c r="G51" s="237" t="s">
        <v>384</v>
      </c>
      <c r="H51" s="40"/>
      <c r="I51" s="40"/>
      <c r="J51" s="40"/>
      <c r="K51" s="40"/>
      <c r="L51" s="40"/>
      <c r="M51" s="40"/>
      <c r="N51" s="40"/>
      <c r="O51" s="40"/>
      <c r="P51" s="40"/>
      <c r="Q51" s="40"/>
      <c r="R51" s="40"/>
      <c r="S51" s="40"/>
      <c r="T51" s="40"/>
    </row>
    <row r="52" spans="3:28" x14ac:dyDescent="0.35">
      <c r="F52" s="319" t="s">
        <v>36</v>
      </c>
      <c r="J52" t="s">
        <v>41</v>
      </c>
      <c r="N52" t="s">
        <v>57</v>
      </c>
    </row>
    <row r="53" spans="3:28" x14ac:dyDescent="0.35">
      <c r="C53" t="s">
        <v>27</v>
      </c>
      <c r="F53" s="319" t="s">
        <v>34</v>
      </c>
      <c r="G53" t="s">
        <v>35</v>
      </c>
      <c r="J53" s="12" t="s">
        <v>34</v>
      </c>
      <c r="K53" t="s">
        <v>35</v>
      </c>
      <c r="N53" s="12" t="s">
        <v>34</v>
      </c>
      <c r="O53" t="s">
        <v>35</v>
      </c>
      <c r="R53" s="37" t="s">
        <v>597</v>
      </c>
      <c r="T53" s="37" t="s">
        <v>598</v>
      </c>
      <c r="U53" t="s">
        <v>599</v>
      </c>
    </row>
    <row r="54" spans="3:28" x14ac:dyDescent="0.35">
      <c r="C54" s="18" t="s">
        <v>28</v>
      </c>
      <c r="D54" s="4"/>
      <c r="E54" s="4"/>
      <c r="F54" s="339">
        <f>1.46*0.9385</f>
        <v>1.3702099999999999</v>
      </c>
      <c r="G54" s="4" t="s">
        <v>594</v>
      </c>
      <c r="H54" s="4"/>
      <c r="I54" s="4"/>
      <c r="J54" s="51">
        <f t="shared" ref="J54:J61" si="3">F54</f>
        <v>1.3702099999999999</v>
      </c>
      <c r="K54" s="4" t="s">
        <v>594</v>
      </c>
      <c r="L54" s="4"/>
      <c r="M54" s="4"/>
      <c r="N54" s="331">
        <f t="shared" ref="N54:N62" si="4">J54</f>
        <v>1.3702099999999999</v>
      </c>
      <c r="O54" s="4" t="s">
        <v>594</v>
      </c>
      <c r="P54" s="4"/>
      <c r="Q54" s="4"/>
      <c r="R54" s="51">
        <f>-N54</f>
        <v>-1.3702099999999999</v>
      </c>
      <c r="S54" s="4"/>
      <c r="T54" s="52">
        <f>-R54/$R$54</f>
        <v>-1</v>
      </c>
      <c r="U54" s="2">
        <f>R54/'Energy &amp; Unit Conversions'!$E$15</f>
        <v>-6.8190006967253899E-2</v>
      </c>
    </row>
    <row r="55" spans="3:28" x14ac:dyDescent="0.35">
      <c r="C55" s="12" t="s">
        <v>104</v>
      </c>
      <c r="D55" s="12"/>
      <c r="E55" s="12"/>
      <c r="F55" s="324">
        <f>1.46*(1-0.9385)</f>
        <v>8.9789999999999995E-2</v>
      </c>
      <c r="G55" s="12" t="s">
        <v>594</v>
      </c>
      <c r="H55" s="12"/>
      <c r="I55" s="12"/>
      <c r="J55" s="55">
        <f t="shared" si="3"/>
        <v>8.9789999999999995E-2</v>
      </c>
      <c r="K55" s="12" t="s">
        <v>594</v>
      </c>
      <c r="L55" s="12"/>
      <c r="M55" s="12"/>
      <c r="N55" s="330">
        <f t="shared" si="4"/>
        <v>8.9789999999999995E-2</v>
      </c>
      <c r="O55" s="12" t="s">
        <v>594</v>
      </c>
      <c r="P55" s="12"/>
      <c r="Q55" s="12"/>
      <c r="R55" s="12"/>
      <c r="S55" s="12"/>
      <c r="T55" s="55"/>
      <c r="U55" s="2"/>
    </row>
    <row r="56" spans="3:28" x14ac:dyDescent="0.35">
      <c r="C56" s="19" t="s">
        <v>29</v>
      </c>
      <c r="D56" s="7"/>
      <c r="E56" s="7"/>
      <c r="F56" s="346">
        <f>K67</f>
        <v>0.18</v>
      </c>
      <c r="G56" s="32" t="s">
        <v>38</v>
      </c>
      <c r="H56" s="7"/>
      <c r="I56" s="7"/>
      <c r="J56" s="7">
        <f t="shared" si="3"/>
        <v>0.18</v>
      </c>
      <c r="K56" s="32" t="s">
        <v>38</v>
      </c>
      <c r="L56" s="7"/>
      <c r="M56" s="7"/>
      <c r="N56" s="89">
        <f t="shared" si="4"/>
        <v>0.18</v>
      </c>
      <c r="O56" s="32" t="s">
        <v>38</v>
      </c>
      <c r="P56" s="7"/>
      <c r="Q56" s="7"/>
      <c r="R56" s="33">
        <f>N56*(N54+N55)</f>
        <v>0.26279999999999998</v>
      </c>
      <c r="S56" s="7"/>
      <c r="T56" s="94">
        <f>-R56/$R$54</f>
        <v>0.19179541822056473</v>
      </c>
      <c r="U56" s="2">
        <f>R56/'Energy &amp; Unit Conversions'!$E$15</f>
        <v>1.3078530904747684E-2</v>
      </c>
    </row>
    <row r="57" spans="3:28" x14ac:dyDescent="0.35">
      <c r="C57" s="18" t="s">
        <v>106</v>
      </c>
      <c r="D57" s="4"/>
      <c r="E57" s="4"/>
      <c r="F57" s="326">
        <v>0.19900000000000001</v>
      </c>
      <c r="G57" s="4" t="s">
        <v>600</v>
      </c>
      <c r="H57" s="4"/>
      <c r="I57" s="4"/>
      <c r="J57" s="4">
        <f t="shared" si="3"/>
        <v>0.19900000000000001</v>
      </c>
      <c r="K57" s="4" t="s">
        <v>604</v>
      </c>
      <c r="L57" s="4"/>
      <c r="M57" s="4"/>
      <c r="N57" s="67">
        <f>'Main Input &amp; Output'!D174</f>
        <v>0.19900000000000001</v>
      </c>
      <c r="O57" s="4" t="s">
        <v>604</v>
      </c>
      <c r="P57" s="4"/>
      <c r="Q57" s="4"/>
      <c r="R57" s="4"/>
      <c r="S57" s="4"/>
      <c r="T57" s="51"/>
      <c r="U57" s="2"/>
    </row>
    <row r="58" spans="3:28" x14ac:dyDescent="0.35">
      <c r="C58" s="28" t="s">
        <v>248</v>
      </c>
      <c r="D58" s="12"/>
      <c r="E58" s="12"/>
      <c r="F58" s="349">
        <f>K68</f>
        <v>10.62</v>
      </c>
      <c r="G58" s="12" t="s">
        <v>611</v>
      </c>
      <c r="H58" s="12"/>
      <c r="I58" s="12"/>
      <c r="J58" s="55">
        <f t="shared" si="3"/>
        <v>10.62</v>
      </c>
      <c r="K58" s="12" t="s">
        <v>612</v>
      </c>
      <c r="L58" s="12"/>
      <c r="M58" s="12"/>
      <c r="N58" s="66">
        <f t="shared" si="4"/>
        <v>10.62</v>
      </c>
      <c r="O58" s="12" t="s">
        <v>612</v>
      </c>
      <c r="P58" s="12"/>
      <c r="Q58" s="12"/>
      <c r="R58" s="55"/>
      <c r="S58" s="12"/>
      <c r="T58" s="66"/>
      <c r="U58" s="2"/>
    </row>
    <row r="59" spans="3:28" x14ac:dyDescent="0.35">
      <c r="C59" s="28" t="s">
        <v>269</v>
      </c>
      <c r="D59" s="12"/>
      <c r="E59" s="12"/>
      <c r="F59" s="329">
        <v>0.16900000000000001</v>
      </c>
      <c r="G59" s="58" t="s">
        <v>266</v>
      </c>
      <c r="H59" s="12"/>
      <c r="I59" s="12"/>
      <c r="J59" s="58">
        <f t="shared" si="3"/>
        <v>0.16900000000000001</v>
      </c>
      <c r="K59" s="58" t="s">
        <v>266</v>
      </c>
      <c r="L59" s="12"/>
      <c r="M59" s="12"/>
      <c r="N59" s="47">
        <f>'Main Input &amp; Output'!D172</f>
        <v>0.16900000000000001</v>
      </c>
      <c r="O59" s="58" t="s">
        <v>266</v>
      </c>
      <c r="P59" s="12"/>
      <c r="Q59" s="12"/>
      <c r="R59" s="12"/>
      <c r="S59" s="12"/>
      <c r="T59" s="12"/>
    </row>
    <row r="60" spans="3:28" x14ac:dyDescent="0.35">
      <c r="C60" s="28" t="s">
        <v>9</v>
      </c>
      <c r="F60" s="319">
        <v>0.439</v>
      </c>
      <c r="G60" s="58" t="s">
        <v>266</v>
      </c>
      <c r="J60" s="58">
        <f t="shared" si="3"/>
        <v>0.439</v>
      </c>
      <c r="K60" s="58" t="s">
        <v>266</v>
      </c>
      <c r="N60" s="43">
        <f>'Main Input &amp; Output'!D173</f>
        <v>0.439</v>
      </c>
      <c r="O60" s="58" t="s">
        <v>266</v>
      </c>
    </row>
    <row r="61" spans="3:28" x14ac:dyDescent="0.35">
      <c r="C61" s="28" t="s">
        <v>270</v>
      </c>
      <c r="F61" s="319">
        <v>0.86199999999999999</v>
      </c>
      <c r="G61" s="58" t="s">
        <v>266</v>
      </c>
      <c r="J61" s="58">
        <f t="shared" si="3"/>
        <v>0.86199999999999999</v>
      </c>
      <c r="K61" s="58" t="s">
        <v>266</v>
      </c>
      <c r="N61">
        <f t="shared" si="4"/>
        <v>0.86199999999999999</v>
      </c>
      <c r="O61" s="58" t="s">
        <v>266</v>
      </c>
    </row>
    <row r="62" spans="3:28" x14ac:dyDescent="0.35">
      <c r="C62" s="28" t="s">
        <v>271</v>
      </c>
      <c r="F62" s="343">
        <f>'Emission Factors'!S18</f>
        <v>0.14588000000000001</v>
      </c>
      <c r="G62" s="58" t="s">
        <v>613</v>
      </c>
      <c r="J62" s="133">
        <f>F62/0.2777778</f>
        <v>0.52516795798656335</v>
      </c>
      <c r="K62" t="s">
        <v>615</v>
      </c>
      <c r="N62" s="90">
        <f t="shared" si="4"/>
        <v>0.52516795798656335</v>
      </c>
      <c r="O62" t="s">
        <v>615</v>
      </c>
      <c r="R62" s="2">
        <f>N57*N58+N59*K66+N60*K69+N61*N62+N55</f>
        <v>2.8484247797844171</v>
      </c>
      <c r="T62" s="97">
        <f>-R62/$R$54</f>
        <v>2.078823523244187</v>
      </c>
      <c r="U62" s="2">
        <f>R62/'Energy &amp; Unit Conversions'!$E$15</f>
        <v>0.1417549905337124</v>
      </c>
      <c r="W62" t="s">
        <v>125</v>
      </c>
      <c r="Z62" s="492" t="s">
        <v>598</v>
      </c>
      <c r="AA62" s="492"/>
      <c r="AB62" s="493"/>
    </row>
    <row r="63" spans="3:28" x14ac:dyDescent="0.35">
      <c r="C63" s="34" t="s">
        <v>73</v>
      </c>
      <c r="D63" s="35"/>
      <c r="E63" s="35"/>
      <c r="F63" s="314">
        <f>'Emission Factors'!S8</f>
        <v>1.36755726371863</v>
      </c>
      <c r="G63" s="35" t="s">
        <v>614</v>
      </c>
      <c r="H63" s="35"/>
      <c r="I63" s="35"/>
      <c r="J63" s="36">
        <f>F63</f>
        <v>1.36755726371863</v>
      </c>
      <c r="K63" s="35"/>
      <c r="L63" s="35"/>
      <c r="M63" s="35"/>
      <c r="N63" s="36">
        <f>F63</f>
        <v>1.36755726371863</v>
      </c>
      <c r="O63" s="35"/>
      <c r="P63" s="35"/>
      <c r="Q63" s="35"/>
      <c r="R63" s="36">
        <f>N63</f>
        <v>1.36755726371863</v>
      </c>
      <c r="S63" s="35"/>
      <c r="T63" s="104">
        <f>-R63/$R$54</f>
        <v>0.99806399290519698</v>
      </c>
      <c r="U63" s="2">
        <f>R63/'Energy &amp; Unit Conversions'!$E$15</f>
        <v>6.805799062997063E-2</v>
      </c>
      <c r="Z63" s="109" t="s">
        <v>213</v>
      </c>
      <c r="AA63" s="109" t="s">
        <v>214</v>
      </c>
      <c r="AB63" s="112" t="s">
        <v>215</v>
      </c>
    </row>
    <row r="64" spans="3:28" x14ac:dyDescent="0.35">
      <c r="C64" s="34" t="s">
        <v>33</v>
      </c>
      <c r="D64" s="35"/>
      <c r="E64" s="35"/>
      <c r="F64" s="35"/>
      <c r="G64" s="35"/>
      <c r="H64" s="35"/>
      <c r="I64" s="35"/>
      <c r="J64" s="35"/>
      <c r="K64" s="35"/>
      <c r="L64" s="35"/>
      <c r="M64" s="35"/>
      <c r="N64" s="35"/>
      <c r="O64" s="35"/>
      <c r="P64" s="35"/>
      <c r="Q64" s="35"/>
      <c r="R64" s="36">
        <f>SUM(R54:R63)</f>
        <v>3.1085720435030471</v>
      </c>
      <c r="S64" s="35"/>
      <c r="T64" s="103">
        <f>SUM(T54:T63)</f>
        <v>2.2686829343699486</v>
      </c>
      <c r="U64" s="2">
        <f>SUM(U54:U63)</f>
        <v>0.15470150510117681</v>
      </c>
      <c r="W64" t="s">
        <v>419</v>
      </c>
      <c r="Z64" s="116">
        <v>3.3305084745762716</v>
      </c>
      <c r="AA64" s="113"/>
      <c r="AB64" s="114"/>
    </row>
    <row r="65" spans="3:28" x14ac:dyDescent="0.35">
      <c r="W65" t="s">
        <v>420</v>
      </c>
      <c r="Z65" s="116">
        <v>3.8474576271186445</v>
      </c>
      <c r="AA65" s="113"/>
      <c r="AB65" s="114"/>
    </row>
    <row r="66" spans="3:28" x14ac:dyDescent="0.35">
      <c r="C66" s="28" t="s">
        <v>81</v>
      </c>
      <c r="I66" s="43">
        <f>K11</f>
        <v>2</v>
      </c>
      <c r="J66" s="58" t="str">
        <f>VLOOKUP(I66,'Emission Factors'!B6:C8,2,FALSE)</f>
        <v>Natural gas</v>
      </c>
      <c r="K66" s="12">
        <f>VLOOKUP(I66,'Emission Factors'!F6:G8,2,FALSE)</f>
        <v>0.49</v>
      </c>
      <c r="M66" t="s">
        <v>442</v>
      </c>
      <c r="W66" t="s">
        <v>421</v>
      </c>
      <c r="Z66" s="2">
        <v>4.1822033898305087</v>
      </c>
      <c r="AA66" s="113"/>
      <c r="AB66" s="114"/>
    </row>
    <row r="67" spans="3:28" x14ac:dyDescent="0.35">
      <c r="C67" s="28" t="s">
        <v>15</v>
      </c>
      <c r="I67" s="43">
        <f>AA11</f>
        <v>2</v>
      </c>
      <c r="J67" s="24" t="str">
        <f>VLOOKUP(I67,'Emission Factors'!B34:C36,2,FALSE)</f>
        <v>Natural gas power plant</v>
      </c>
      <c r="K67">
        <f>VLOOKUP(I67,'Emission Factors'!F34:G36,2,FALSE)</f>
        <v>0.18</v>
      </c>
      <c r="W67" t="s">
        <v>382</v>
      </c>
      <c r="Z67" s="2">
        <v>4.9406779661016955</v>
      </c>
    </row>
    <row r="68" spans="3:28" x14ac:dyDescent="0.35">
      <c r="C68" s="28" t="s">
        <v>248</v>
      </c>
      <c r="I68" s="43">
        <f>T11</f>
        <v>2</v>
      </c>
      <c r="J68" s="24" t="str">
        <f>VLOOKUP(I68,'Emission Factors'!B27:C29,2,FALSE)</f>
        <v>Steam methane reforming</v>
      </c>
      <c r="K68">
        <f>VLOOKUP(I68,'Emission Factors'!F27:G29,2,FALSE)</f>
        <v>10.62</v>
      </c>
    </row>
    <row r="69" spans="3:28" x14ac:dyDescent="0.35">
      <c r="C69" s="28" t="s">
        <v>9</v>
      </c>
      <c r="I69" s="43">
        <f>O11</f>
        <v>2</v>
      </c>
      <c r="J69" s="24" t="str">
        <f>VLOOKUP(I69,'Emission Factors'!B20:C22,2,FALSE)</f>
        <v>Natural gas industrial furnace</v>
      </c>
      <c r="K69">
        <f>VLOOKUP(I69,'Emission Factors'!F20:G22,2,FALSE)</f>
        <v>0.25</v>
      </c>
      <c r="M69" t="s">
        <v>443</v>
      </c>
    </row>
  </sheetData>
  <sheetProtection sheet="1" objects="1" scenarios="1"/>
  <mergeCells count="4">
    <mergeCell ref="Z62:AB62"/>
    <mergeCell ref="A2:G3"/>
    <mergeCell ref="Z41:AB41"/>
    <mergeCell ref="I2:I7"/>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A4F025-15A6-40B2-8647-A91465588FEA}">
  <sheetPr codeName="Sheet12">
    <tabColor theme="4"/>
  </sheetPr>
  <dimension ref="A2:BT55"/>
  <sheetViews>
    <sheetView zoomScaleNormal="100" workbookViewId="0">
      <selection activeCell="A2" sqref="A2:G3"/>
    </sheetView>
  </sheetViews>
  <sheetFormatPr defaultColWidth="8.81640625" defaultRowHeight="14.5" x14ac:dyDescent="0.35"/>
  <cols>
    <col min="19" max="19" width="11.81640625" bestFit="1" customWidth="1"/>
    <col min="27" max="36" width="8.6328125" customWidth="1"/>
    <col min="40" max="46" width="8.6328125" customWidth="1"/>
    <col min="47" max="49" width="8.6328125" hidden="1" customWidth="1"/>
    <col min="50" max="55" width="8.6328125" customWidth="1"/>
    <col min="56" max="61" width="8.6328125" hidden="1" customWidth="1"/>
    <col min="62" max="62" width="9.6328125" hidden="1" customWidth="1"/>
    <col min="63" max="63" width="9.7265625" hidden="1" customWidth="1"/>
    <col min="64" max="69" width="8.6328125" hidden="1" customWidth="1"/>
    <col min="70" max="70" width="0" hidden="1" customWidth="1"/>
    <col min="71" max="71" width="8.6328125" customWidth="1"/>
  </cols>
  <sheetData>
    <row r="2" spans="1:72" ht="14.5" customHeight="1" x14ac:dyDescent="0.45">
      <c r="A2" s="488" t="s">
        <v>562</v>
      </c>
      <c r="B2" s="488"/>
      <c r="C2" s="488"/>
      <c r="D2" s="488"/>
      <c r="E2" s="488"/>
      <c r="F2" s="488"/>
      <c r="G2" s="488"/>
      <c r="H2" s="157"/>
      <c r="I2" s="489" t="s">
        <v>517</v>
      </c>
      <c r="J2" s="302" t="s">
        <v>519</v>
      </c>
      <c r="K2" s="302"/>
      <c r="L2" s="302"/>
      <c r="M2" s="4" t="s">
        <v>522</v>
      </c>
      <c r="N2" s="4"/>
      <c r="O2" s="4"/>
      <c r="P2" s="4"/>
      <c r="Q2" s="4"/>
      <c r="R2" s="4"/>
      <c r="S2" s="4"/>
      <c r="T2" s="4"/>
      <c r="U2" s="4"/>
      <c r="V2" s="4"/>
      <c r="W2" s="5"/>
      <c r="Y2" s="43"/>
      <c r="Z2" t="s">
        <v>528</v>
      </c>
    </row>
    <row r="3" spans="1:72" ht="14.5" customHeight="1" x14ac:dyDescent="0.45">
      <c r="A3" s="488"/>
      <c r="B3" s="488"/>
      <c r="C3" s="488"/>
      <c r="D3" s="488"/>
      <c r="E3" s="488"/>
      <c r="F3" s="488"/>
      <c r="G3" s="488"/>
      <c r="H3" s="157"/>
      <c r="I3" s="490"/>
      <c r="J3" s="296" t="s">
        <v>520</v>
      </c>
      <c r="K3" s="296"/>
      <c r="L3" s="296"/>
      <c r="M3" s="12" t="s">
        <v>523</v>
      </c>
      <c r="N3" s="12"/>
      <c r="O3" s="12"/>
      <c r="P3" s="12"/>
      <c r="Q3" s="12"/>
      <c r="R3" s="12"/>
      <c r="S3" s="12"/>
      <c r="T3" s="12"/>
      <c r="U3" s="12"/>
      <c r="V3" s="12"/>
      <c r="W3" s="25"/>
    </row>
    <row r="4" spans="1:72" ht="15.5" x14ac:dyDescent="0.35">
      <c r="B4" s="75"/>
      <c r="C4" s="75"/>
      <c r="D4" s="75"/>
      <c r="E4" s="75"/>
      <c r="F4" s="75"/>
      <c r="G4" s="75"/>
      <c r="H4" s="75"/>
      <c r="I4" s="490"/>
      <c r="J4" s="303" t="s">
        <v>143</v>
      </c>
      <c r="K4" s="304"/>
      <c r="L4" s="304"/>
      <c r="M4" s="12" t="s">
        <v>518</v>
      </c>
      <c r="N4" s="12"/>
      <c r="O4" s="12"/>
      <c r="P4" s="12"/>
      <c r="Q4" s="12"/>
      <c r="R4" s="12"/>
      <c r="S4" s="12"/>
      <c r="T4" s="12"/>
      <c r="U4" s="12"/>
      <c r="V4" s="12"/>
      <c r="W4" s="25"/>
    </row>
    <row r="5" spans="1:72" ht="16.5" x14ac:dyDescent="0.45">
      <c r="B5" s="27"/>
      <c r="C5" s="75"/>
      <c r="D5" s="75"/>
      <c r="E5" s="75"/>
      <c r="F5" s="75"/>
      <c r="G5" s="75"/>
      <c r="H5" s="75"/>
      <c r="I5" s="490"/>
      <c r="J5" s="305" t="s">
        <v>521</v>
      </c>
      <c r="K5" s="305"/>
      <c r="L5" s="305"/>
      <c r="M5" s="12" t="s">
        <v>524</v>
      </c>
      <c r="N5" s="12"/>
      <c r="O5" s="12"/>
      <c r="P5" s="12"/>
      <c r="Q5" s="12"/>
      <c r="R5" s="12"/>
      <c r="S5" s="12"/>
      <c r="T5" s="12"/>
      <c r="U5" s="12"/>
      <c r="V5" s="12"/>
      <c r="W5" s="25"/>
    </row>
    <row r="6" spans="1:72" ht="15.5" x14ac:dyDescent="0.35">
      <c r="C6" t="s">
        <v>47</v>
      </c>
      <c r="F6" t="s">
        <v>48</v>
      </c>
      <c r="H6" s="29"/>
      <c r="I6" s="490"/>
      <c r="J6" s="306" t="s">
        <v>62</v>
      </c>
      <c r="K6" s="307"/>
      <c r="L6" s="307"/>
      <c r="M6" s="12" t="s">
        <v>525</v>
      </c>
      <c r="N6" s="12"/>
      <c r="O6" s="12"/>
      <c r="P6" s="12"/>
      <c r="Q6" s="12"/>
      <c r="R6" s="12"/>
      <c r="S6" s="12"/>
      <c r="T6" s="12"/>
      <c r="U6" s="12"/>
      <c r="V6" s="12"/>
      <c r="W6" s="25"/>
    </row>
    <row r="7" spans="1:72" x14ac:dyDescent="0.35">
      <c r="C7" t="s">
        <v>198</v>
      </c>
      <c r="F7" t="s">
        <v>51</v>
      </c>
      <c r="G7" s="74"/>
      <c r="I7" s="491"/>
      <c r="J7" s="308" t="s">
        <v>33</v>
      </c>
      <c r="K7" s="308"/>
      <c r="L7" s="308"/>
      <c r="M7" s="7" t="s">
        <v>526</v>
      </c>
      <c r="N7" s="7"/>
      <c r="O7" s="7"/>
      <c r="P7" s="7"/>
      <c r="Q7" s="7"/>
      <c r="R7" s="7"/>
      <c r="S7" s="7"/>
      <c r="T7" s="7"/>
      <c r="U7" s="7"/>
      <c r="V7" s="7"/>
      <c r="W7" s="26"/>
    </row>
    <row r="8" spans="1:72" x14ac:dyDescent="0.35">
      <c r="F8" t="s">
        <v>53</v>
      </c>
      <c r="G8" s="82"/>
    </row>
    <row r="9" spans="1:72" ht="15.5" x14ac:dyDescent="0.35">
      <c r="G9" s="75"/>
    </row>
    <row r="10" spans="1:72" ht="15.5" x14ac:dyDescent="0.35">
      <c r="G10" s="75"/>
      <c r="K10" t="s">
        <v>64</v>
      </c>
      <c r="O10" t="s">
        <v>65</v>
      </c>
      <c r="S10" t="s">
        <v>66</v>
      </c>
      <c r="X10" t="s">
        <v>15</v>
      </c>
    </row>
    <row r="11" spans="1:72" x14ac:dyDescent="0.35">
      <c r="B11" s="35" t="s">
        <v>63</v>
      </c>
      <c r="C11" s="63" t="s">
        <v>300</v>
      </c>
      <c r="D11" s="63"/>
      <c r="E11" s="63"/>
      <c r="F11" s="63" t="s">
        <v>300</v>
      </c>
      <c r="G11" s="35"/>
      <c r="H11" s="35"/>
      <c r="I11" s="63"/>
      <c r="J11" s="35"/>
      <c r="K11" s="44">
        <f>'Emission Factors'!G9</f>
        <v>2</v>
      </c>
      <c r="L11" s="44" t="str">
        <f>'Emission Factors'!C10</f>
        <v>Natural gas</v>
      </c>
      <c r="M11" s="44">
        <f>'Emission Factors'!G10</f>
        <v>0.49</v>
      </c>
      <c r="N11" s="35"/>
      <c r="O11" s="44"/>
      <c r="P11" s="44"/>
      <c r="Q11" s="44"/>
      <c r="R11" s="35"/>
      <c r="S11" s="44"/>
      <c r="T11" s="44"/>
      <c r="U11" s="44"/>
      <c r="V11" s="63"/>
      <c r="W11" s="35"/>
      <c r="X11" s="44">
        <f>'Emission Factors'!G37</f>
        <v>2</v>
      </c>
      <c r="Y11" s="44" t="str">
        <f>'Emission Factors'!C38</f>
        <v>Natural gas power plant</v>
      </c>
      <c r="Z11" s="44">
        <f>'Emission Factors'!G38</f>
        <v>0.18</v>
      </c>
    </row>
    <row r="13" spans="1:72" x14ac:dyDescent="0.35">
      <c r="B13" s="16" t="s">
        <v>46</v>
      </c>
      <c r="C13" s="15"/>
      <c r="D13" s="16" t="s">
        <v>198</v>
      </c>
      <c r="E13" s="15"/>
      <c r="F13" s="15"/>
      <c r="G13" s="15"/>
      <c r="H13" s="15"/>
      <c r="I13" s="15"/>
      <c r="J13" s="15"/>
      <c r="K13" s="15"/>
      <c r="L13" s="15"/>
      <c r="M13" s="15"/>
      <c r="N13" s="15"/>
      <c r="O13" s="15"/>
      <c r="P13" s="15"/>
      <c r="Q13" s="15"/>
      <c r="R13" s="15"/>
      <c r="S13" s="15"/>
      <c r="T13" s="15"/>
      <c r="AN13" s="3" t="s">
        <v>186</v>
      </c>
      <c r="AO13" s="4"/>
      <c r="AP13" s="4"/>
      <c r="AQ13" s="4"/>
      <c r="AR13" s="4"/>
      <c r="AS13" s="4"/>
      <c r="AT13" s="5"/>
      <c r="AX13" s="3" t="s">
        <v>186</v>
      </c>
      <c r="AY13" s="4"/>
      <c r="AZ13" s="4"/>
      <c r="BA13" s="4"/>
      <c r="BB13" s="4"/>
      <c r="BC13" s="5"/>
      <c r="BH13" s="3" t="s">
        <v>186</v>
      </c>
      <c r="BI13" s="4"/>
      <c r="BJ13" s="4" t="s">
        <v>529</v>
      </c>
      <c r="BK13" s="4"/>
      <c r="BL13" s="4"/>
      <c r="BM13" s="5"/>
      <c r="BR13" s="371" t="s">
        <v>186</v>
      </c>
      <c r="BS13" s="371" t="s">
        <v>186</v>
      </c>
      <c r="BT13" s="371" t="s">
        <v>186</v>
      </c>
    </row>
    <row r="14" spans="1:72" x14ac:dyDescent="0.35">
      <c r="N14" s="24"/>
      <c r="AK14" t="s">
        <v>82</v>
      </c>
      <c r="AN14" s="194" t="s">
        <v>619</v>
      </c>
      <c r="AO14" s="12"/>
      <c r="AP14" s="12"/>
      <c r="AQ14" s="12"/>
      <c r="AR14" s="12"/>
      <c r="AS14" s="12"/>
      <c r="AT14" s="25"/>
      <c r="AX14" s="194" t="s">
        <v>597</v>
      </c>
      <c r="AY14" s="12"/>
      <c r="AZ14" s="12"/>
      <c r="BA14" s="12"/>
      <c r="BB14" s="12"/>
      <c r="BC14" s="25"/>
      <c r="BH14" s="194" t="s">
        <v>530</v>
      </c>
      <c r="BI14" s="12"/>
      <c r="BJ14" s="12"/>
      <c r="BK14" s="12"/>
      <c r="BL14" s="12"/>
      <c r="BM14" s="25"/>
      <c r="BR14" s="372" t="s">
        <v>531</v>
      </c>
      <c r="BS14" s="372" t="s">
        <v>531</v>
      </c>
      <c r="BT14" s="372" t="s">
        <v>185</v>
      </c>
    </row>
    <row r="15" spans="1:72" x14ac:dyDescent="0.35">
      <c r="C15" s="40" t="s">
        <v>44</v>
      </c>
      <c r="D15" s="40" t="s">
        <v>53</v>
      </c>
      <c r="E15" s="39"/>
      <c r="F15" s="338" t="s">
        <v>379</v>
      </c>
      <c r="G15" s="39" t="s">
        <v>428</v>
      </c>
      <c r="H15" s="39"/>
      <c r="I15" s="39"/>
      <c r="J15" s="39"/>
      <c r="K15" s="39"/>
      <c r="L15" s="39"/>
      <c r="M15" s="39"/>
      <c r="N15" s="39"/>
      <c r="O15" s="39"/>
      <c r="P15" s="39"/>
      <c r="Q15" s="39"/>
      <c r="R15" s="39"/>
      <c r="S15" s="39"/>
      <c r="T15" s="39"/>
      <c r="AK15" t="s">
        <v>83</v>
      </c>
      <c r="AL15" t="s">
        <v>84</v>
      </c>
      <c r="AM15" t="s">
        <v>85</v>
      </c>
      <c r="AN15" s="11" t="s">
        <v>61</v>
      </c>
      <c r="AO15" s="12" t="s">
        <v>15</v>
      </c>
      <c r="AP15" s="12" t="s">
        <v>143</v>
      </c>
      <c r="AQ15" s="12" t="s">
        <v>60</v>
      </c>
      <c r="AR15" s="12" t="s">
        <v>62</v>
      </c>
      <c r="AS15" s="12" t="s">
        <v>33</v>
      </c>
      <c r="AT15" s="25" t="s">
        <v>136</v>
      </c>
      <c r="AU15" t="s">
        <v>137</v>
      </c>
      <c r="AV15" t="s">
        <v>138</v>
      </c>
      <c r="AW15" t="s">
        <v>139</v>
      </c>
      <c r="AX15" s="11" t="s">
        <v>61</v>
      </c>
      <c r="AY15" s="12" t="s">
        <v>15</v>
      </c>
      <c r="AZ15" s="12" t="s">
        <v>143</v>
      </c>
      <c r="BA15" s="12" t="s">
        <v>60</v>
      </c>
      <c r="BB15" s="12" t="s">
        <v>62</v>
      </c>
      <c r="BC15" s="25" t="s">
        <v>33</v>
      </c>
      <c r="BD15" t="s">
        <v>136</v>
      </c>
      <c r="BE15" t="s">
        <v>137</v>
      </c>
      <c r="BF15" t="s">
        <v>138</v>
      </c>
      <c r="BG15" t="s">
        <v>139</v>
      </c>
      <c r="BH15" s="11" t="s">
        <v>61</v>
      </c>
      <c r="BI15" s="12" t="s">
        <v>15</v>
      </c>
      <c r="BJ15" s="12" t="s">
        <v>143</v>
      </c>
      <c r="BK15" s="12" t="s">
        <v>60</v>
      </c>
      <c r="BL15" s="12" t="s">
        <v>62</v>
      </c>
      <c r="BM15" s="25" t="s">
        <v>33</v>
      </c>
      <c r="BN15" t="s">
        <v>136</v>
      </c>
      <c r="BO15" t="s">
        <v>137</v>
      </c>
      <c r="BP15" t="s">
        <v>138</v>
      </c>
      <c r="BQ15" t="s">
        <v>139</v>
      </c>
      <c r="BR15" s="381" t="s">
        <v>530</v>
      </c>
      <c r="BS15" s="381" t="s">
        <v>597</v>
      </c>
      <c r="BT15" s="381" t="s">
        <v>617</v>
      </c>
    </row>
    <row r="16" spans="1:72" x14ac:dyDescent="0.35">
      <c r="F16" s="319" t="s">
        <v>36</v>
      </c>
      <c r="J16" t="s">
        <v>41</v>
      </c>
      <c r="N16" t="s">
        <v>57</v>
      </c>
      <c r="AK16" t="s">
        <v>197</v>
      </c>
      <c r="AL16" t="str">
        <f>D13</f>
        <v>P.CAT</v>
      </c>
      <c r="AM16" t="str">
        <f>D15</f>
        <v>Methanol</v>
      </c>
      <c r="AN16" s="195">
        <f>T18</f>
        <v>-1</v>
      </c>
      <c r="AO16" s="55">
        <f>T20</f>
        <v>0.21127631578947367</v>
      </c>
      <c r="AP16" s="12"/>
      <c r="AQ16" s="55">
        <f>T28</f>
        <v>0.5475988315066127</v>
      </c>
      <c r="AR16" s="55">
        <f>T29</f>
        <v>0.99967636236741952</v>
      </c>
      <c r="AS16" s="55">
        <f>T30</f>
        <v>0.75855150966350593</v>
      </c>
      <c r="AT16" s="191">
        <f>IF(J31="Natural Gas",Z30,"")</f>
        <v>0.38513513513513509</v>
      </c>
      <c r="AX16" s="195">
        <f>R18</f>
        <v>-1.3680000000000001</v>
      </c>
      <c r="AY16" s="55">
        <f>R20</f>
        <v>0.28902600000000001</v>
      </c>
      <c r="AZ16" s="12">
        <v>0</v>
      </c>
      <c r="BA16" s="55">
        <f>R28</f>
        <v>0.74911520150104627</v>
      </c>
      <c r="BB16" s="55">
        <f>R29</f>
        <v>1.36755726371863</v>
      </c>
      <c r="BC16" s="191">
        <f>R30</f>
        <v>1.0376984652196761</v>
      </c>
      <c r="BH16" s="195">
        <f>U18</f>
        <v>-6.8080023887727686E-2</v>
      </c>
      <c r="BI16" s="55">
        <f>U20</f>
        <v>1.4383696625858465E-2</v>
      </c>
      <c r="BJ16" s="12">
        <v>0</v>
      </c>
      <c r="BK16" s="55">
        <f>U28</f>
        <v>3.728054152986196E-2</v>
      </c>
      <c r="BL16" s="55">
        <f>U29</f>
        <v>6.805799062997063E-2</v>
      </c>
      <c r="BM16" s="191">
        <f>U30</f>
        <v>5.1642204897963367E-2</v>
      </c>
      <c r="BR16" s="373">
        <f>Incumbents!L47-U30</f>
        <v>3.1189224960977868E-2</v>
      </c>
      <c r="BS16" s="373">
        <f>Incumbents!I47-R30</f>
        <v>0.62671628636588905</v>
      </c>
      <c r="BT16" s="372">
        <f>BS16*Constants!$C$11*0.5</f>
        <v>2.1935070022806119E-2</v>
      </c>
    </row>
    <row r="17" spans="1:72" x14ac:dyDescent="0.35">
      <c r="A17" t="s">
        <v>58</v>
      </c>
      <c r="C17" t="s">
        <v>27</v>
      </c>
      <c r="F17" s="325" t="s">
        <v>34</v>
      </c>
      <c r="G17" t="s">
        <v>35</v>
      </c>
      <c r="J17" s="7" t="s">
        <v>34</v>
      </c>
      <c r="K17" t="s">
        <v>35</v>
      </c>
      <c r="N17" s="7" t="s">
        <v>34</v>
      </c>
      <c r="O17" t="s">
        <v>35</v>
      </c>
      <c r="R17" s="37" t="s">
        <v>597</v>
      </c>
      <c r="T17" s="37" t="s">
        <v>598</v>
      </c>
      <c r="U17" t="s">
        <v>599</v>
      </c>
      <c r="AK17" t="s">
        <v>197</v>
      </c>
      <c r="AL17" t="str">
        <f>D13</f>
        <v>P.CAT</v>
      </c>
      <c r="AM17" t="str">
        <f>D35</f>
        <v>Methane</v>
      </c>
      <c r="AN17" s="375">
        <f>T38</f>
        <v>-1</v>
      </c>
      <c r="AO17" s="33">
        <f>T40</f>
        <v>0.23203636363636362</v>
      </c>
      <c r="AP17" s="7"/>
      <c r="AQ17" s="33">
        <f>T48</f>
        <v>0.33610527037344151</v>
      </c>
      <c r="AR17" s="33">
        <f>T49</f>
        <v>1</v>
      </c>
      <c r="AS17" s="33">
        <f>T50</f>
        <v>0.56814163400980511</v>
      </c>
      <c r="AT17" s="234">
        <f>IF(J51="Natural Gas",Z50,"")</f>
        <v>9.6885813148788927E-2</v>
      </c>
      <c r="AX17" s="375">
        <f>R38</f>
        <v>-2.75</v>
      </c>
      <c r="AY17" s="33">
        <f>R40</f>
        <v>0.6381</v>
      </c>
      <c r="AZ17" s="7">
        <v>0</v>
      </c>
      <c r="BA17" s="33">
        <f>R48</f>
        <v>0.92428949352696421</v>
      </c>
      <c r="BB17" s="33">
        <f>R49</f>
        <v>2.75</v>
      </c>
      <c r="BC17" s="234">
        <f>R50</f>
        <v>1.5623894935269638</v>
      </c>
      <c r="BH17" s="375">
        <f>U38</f>
        <v>-5.5E-2</v>
      </c>
      <c r="BI17" s="33">
        <f>U40</f>
        <v>1.2762000000000001E-2</v>
      </c>
      <c r="BJ17" s="7">
        <v>0</v>
      </c>
      <c r="BK17" s="33">
        <f>U48</f>
        <v>1.8485789870539285E-2</v>
      </c>
      <c r="BL17" s="33">
        <f>U49</f>
        <v>5.5E-2</v>
      </c>
      <c r="BM17" s="234">
        <f>U50</f>
        <v>3.1247789870539288E-2</v>
      </c>
      <c r="BR17" s="374">
        <f>Incumbents!L39-U50</f>
        <v>3.8663003798799903E-2</v>
      </c>
      <c r="BS17" s="374">
        <f>Incumbents!I39-R50</f>
        <v>1.4610426002909485</v>
      </c>
      <c r="BT17" s="380">
        <f>BS17*Constants!$C$10*0.5</f>
        <v>1.9870179363956901</v>
      </c>
    </row>
    <row r="18" spans="1:72" x14ac:dyDescent="0.35">
      <c r="A18" t="s">
        <v>61</v>
      </c>
      <c r="C18" s="18" t="s">
        <v>28</v>
      </c>
      <c r="F18" s="353">
        <v>1.3680000000000001</v>
      </c>
      <c r="G18" s="22" t="s">
        <v>169</v>
      </c>
      <c r="J18" s="2">
        <f>F18</f>
        <v>1.3680000000000001</v>
      </c>
      <c r="K18" s="22" t="s">
        <v>169</v>
      </c>
      <c r="N18" s="343">
        <f>J18</f>
        <v>1.3680000000000001</v>
      </c>
      <c r="O18" s="22" t="s">
        <v>169</v>
      </c>
      <c r="R18" s="2">
        <f>-N18</f>
        <v>-1.3680000000000001</v>
      </c>
      <c r="T18" s="38">
        <f>-R18/$R$18</f>
        <v>-1</v>
      </c>
      <c r="U18" s="2">
        <f>R18/'Energy &amp; Unit Conversions'!$E$15</f>
        <v>-6.8080023887727686E-2</v>
      </c>
      <c r="AN18" s="2"/>
      <c r="AO18" s="2"/>
      <c r="AP18" s="2"/>
      <c r="AQ18" s="2"/>
      <c r="AR18" s="2"/>
      <c r="AS18" s="2"/>
    </row>
    <row r="19" spans="1:72" x14ac:dyDescent="0.35">
      <c r="C19" s="20" t="s">
        <v>104</v>
      </c>
      <c r="F19" s="353">
        <v>0.23769999999999999</v>
      </c>
      <c r="G19" t="s">
        <v>620</v>
      </c>
      <c r="J19" s="2">
        <f>F19</f>
        <v>0.23769999999999999</v>
      </c>
      <c r="K19" t="s">
        <v>595</v>
      </c>
      <c r="N19" s="343">
        <f>J19</f>
        <v>0.23769999999999999</v>
      </c>
      <c r="O19" t="s">
        <v>623</v>
      </c>
      <c r="U19" s="2"/>
      <c r="AN19" s="2"/>
      <c r="AO19" s="2"/>
      <c r="AP19" s="2"/>
      <c r="AQ19" s="2"/>
      <c r="AR19" s="2"/>
      <c r="AS19" s="2"/>
    </row>
    <row r="20" spans="1:72" x14ac:dyDescent="0.35">
      <c r="A20" t="s">
        <v>15</v>
      </c>
      <c r="C20" s="19" t="s">
        <v>29</v>
      </c>
      <c r="D20" s="7"/>
      <c r="E20" s="7"/>
      <c r="F20" s="8">
        <f>K32</f>
        <v>0.18</v>
      </c>
      <c r="G20" s="32" t="s">
        <v>78</v>
      </c>
      <c r="H20" s="7"/>
      <c r="I20" s="7"/>
      <c r="J20" s="33">
        <f>F20</f>
        <v>0.18</v>
      </c>
      <c r="K20" s="32" t="s">
        <v>78</v>
      </c>
      <c r="L20" s="7"/>
      <c r="M20" s="7"/>
      <c r="N20" s="85">
        <f t="shared" ref="N20:N27" si="0">J20</f>
        <v>0.18</v>
      </c>
      <c r="O20" s="32" t="s">
        <v>78</v>
      </c>
      <c r="P20" s="7"/>
      <c r="Q20" s="7"/>
      <c r="R20" s="33">
        <f>N20*(N18+N19)</f>
        <v>0.28902600000000001</v>
      </c>
      <c r="S20" s="7"/>
      <c r="T20" s="94">
        <f>-R20/$R$18</f>
        <v>0.21127631578947367</v>
      </c>
      <c r="U20" s="2">
        <f>R20/'Energy &amp; Unit Conversions'!$E$15</f>
        <v>1.4383696625858465E-2</v>
      </c>
      <c r="AN20" s="2"/>
      <c r="AO20" s="2"/>
      <c r="AP20" s="2"/>
      <c r="AR20" s="2"/>
      <c r="AS20" s="2"/>
    </row>
    <row r="21" spans="1:72" x14ac:dyDescent="0.35">
      <c r="C21" s="20" t="s">
        <v>253</v>
      </c>
      <c r="D21" s="12"/>
      <c r="E21" s="12"/>
      <c r="F21" s="311">
        <v>3.1706378664199198E-3</v>
      </c>
      <c r="G21" s="23" t="s">
        <v>266</v>
      </c>
      <c r="H21" s="12"/>
      <c r="I21" s="12"/>
      <c r="J21" s="55">
        <f>F21</f>
        <v>3.1706378664199198E-3</v>
      </c>
      <c r="K21" s="23" t="s">
        <v>266</v>
      </c>
      <c r="L21" s="12"/>
      <c r="M21" s="12"/>
      <c r="N21" s="46">
        <f>'Main Input &amp; Output'!D151</f>
        <v>3.1706378664199202E-3</v>
      </c>
      <c r="O21" s="23" t="s">
        <v>266</v>
      </c>
      <c r="P21" s="12"/>
      <c r="Q21" s="12"/>
      <c r="R21" s="55"/>
      <c r="S21" s="12"/>
      <c r="T21" s="66"/>
      <c r="U21" s="2"/>
      <c r="AN21" s="2"/>
      <c r="AO21" s="2"/>
      <c r="AP21" s="2"/>
      <c r="AR21" s="2"/>
      <c r="AS21" s="2"/>
    </row>
    <row r="22" spans="1:72" x14ac:dyDescent="0.35">
      <c r="A22" t="s">
        <v>178</v>
      </c>
      <c r="C22" s="20" t="s">
        <v>6</v>
      </c>
      <c r="F22" s="311">
        <v>6.2811314685314681</v>
      </c>
      <c r="G22" s="23" t="s">
        <v>467</v>
      </c>
      <c r="J22" s="2">
        <f>F22/'Energy &amp; Unit Conversions'!E11</f>
        <v>0.13324137096225086</v>
      </c>
      <c r="K22" s="23" t="s">
        <v>624</v>
      </c>
      <c r="N22" s="65">
        <f>'Main Input &amp; Output'!D152</f>
        <v>0.133241370962251</v>
      </c>
      <c r="O22" s="23" t="s">
        <v>624</v>
      </c>
      <c r="R22" s="2"/>
      <c r="T22" s="2"/>
      <c r="U22" s="2"/>
      <c r="AN22" s="2"/>
      <c r="AO22" s="2"/>
      <c r="AP22" s="2"/>
      <c r="AQ22" s="2"/>
      <c r="AR22" s="2"/>
      <c r="AS22" s="2"/>
    </row>
    <row r="23" spans="1:72" x14ac:dyDescent="0.35">
      <c r="C23" s="20" t="s">
        <v>255</v>
      </c>
      <c r="F23" s="311">
        <v>4.3560419580419583E-2</v>
      </c>
      <c r="G23" s="23" t="s">
        <v>267</v>
      </c>
      <c r="J23" s="2">
        <f>F23</f>
        <v>4.3560419580419583E-2</v>
      </c>
      <c r="K23" s="23" t="s">
        <v>267</v>
      </c>
      <c r="N23" s="80">
        <f t="shared" si="0"/>
        <v>4.3560419580419583E-2</v>
      </c>
      <c r="O23" s="23" t="s">
        <v>267</v>
      </c>
      <c r="R23" s="2"/>
      <c r="T23" s="2"/>
      <c r="U23" s="2"/>
      <c r="AN23" s="2"/>
      <c r="AO23" s="2"/>
      <c r="AP23" s="2"/>
      <c r="AQ23" s="2"/>
      <c r="AR23" s="2"/>
      <c r="AS23" s="2"/>
    </row>
    <row r="24" spans="1:72" x14ac:dyDescent="0.35">
      <c r="C24" s="20" t="s">
        <v>256</v>
      </c>
      <c r="F24" s="311">
        <v>5.3396643356643354E-2</v>
      </c>
      <c r="G24" s="23" t="s">
        <v>268</v>
      </c>
      <c r="J24" s="2">
        <f>F24</f>
        <v>5.3396643356643354E-2</v>
      </c>
      <c r="K24" s="23" t="s">
        <v>268</v>
      </c>
      <c r="N24" s="80">
        <f t="shared" si="0"/>
        <v>5.3396643356643354E-2</v>
      </c>
      <c r="O24" s="23" t="s">
        <v>268</v>
      </c>
      <c r="R24" s="2"/>
      <c r="T24" s="2"/>
      <c r="U24" s="2"/>
      <c r="AN24" s="2"/>
      <c r="AO24" s="2"/>
      <c r="AP24" s="2"/>
      <c r="AQ24" s="2"/>
      <c r="AR24" s="2"/>
      <c r="AS24" s="2"/>
    </row>
    <row r="25" spans="1:72" x14ac:dyDescent="0.35">
      <c r="A25" s="48"/>
      <c r="C25" s="20" t="s">
        <v>179</v>
      </c>
      <c r="F25" s="313">
        <v>2.6698321678321677E-6</v>
      </c>
      <c r="G25" s="23" t="s">
        <v>621</v>
      </c>
      <c r="J25" s="76">
        <f>F25</f>
        <v>2.6698321678321677E-6</v>
      </c>
      <c r="K25" s="23" t="s">
        <v>621</v>
      </c>
      <c r="N25" s="132">
        <f t="shared" si="0"/>
        <v>2.6698321678321677E-6</v>
      </c>
      <c r="O25" s="23" t="s">
        <v>621</v>
      </c>
      <c r="R25" s="2"/>
      <c r="T25" s="2"/>
      <c r="U25" s="2"/>
    </row>
    <row r="26" spans="1:72" x14ac:dyDescent="0.35">
      <c r="A26" s="48"/>
      <c r="C26" s="20" t="s">
        <v>180</v>
      </c>
      <c r="F26" s="311">
        <v>9.695706293706294E-4</v>
      </c>
      <c r="G26" s="23" t="s">
        <v>592</v>
      </c>
      <c r="J26" s="2">
        <f>F26</f>
        <v>9.695706293706294E-4</v>
      </c>
      <c r="K26" s="23" t="s">
        <v>592</v>
      </c>
      <c r="N26" s="80">
        <f t="shared" si="0"/>
        <v>9.695706293706294E-4</v>
      </c>
      <c r="O26" s="23" t="s">
        <v>592</v>
      </c>
      <c r="R26" s="2"/>
      <c r="T26" s="2"/>
      <c r="U26" s="2"/>
    </row>
    <row r="27" spans="1:72" x14ac:dyDescent="0.35">
      <c r="A27" s="48"/>
      <c r="C27" s="20" t="s">
        <v>181</v>
      </c>
      <c r="F27" s="311">
        <v>0.38642307692307698</v>
      </c>
      <c r="G27" s="23" t="s">
        <v>594</v>
      </c>
      <c r="J27" s="2">
        <f>F27</f>
        <v>0.38642307692307698</v>
      </c>
      <c r="K27" s="23" t="s">
        <v>594</v>
      </c>
      <c r="N27" s="80">
        <f t="shared" si="0"/>
        <v>0.38642307692307698</v>
      </c>
      <c r="O27" s="23" t="s">
        <v>594</v>
      </c>
      <c r="R27" s="2"/>
      <c r="T27" s="2"/>
      <c r="U27" s="2"/>
    </row>
    <row r="28" spans="1:72" x14ac:dyDescent="0.35">
      <c r="A28" s="31"/>
      <c r="C28" s="20" t="s">
        <v>68</v>
      </c>
      <c r="F28" s="313"/>
      <c r="G28" s="23"/>
      <c r="J28" s="2">
        <f>(J22*'Emission Factors'!S21)+(J25*'Emission Factors'!AB7)+(J26*'Emission Factors'!AB8)+J27</f>
        <v>0.46266794115898824</v>
      </c>
      <c r="K28" s="20" t="s">
        <v>622</v>
      </c>
      <c r="L28" s="12"/>
      <c r="M28" s="12"/>
      <c r="N28" s="66">
        <f>(N21*K31)+(N22*'Emission Factors'!S21)+(N23*'Emission Factors'!S24)+(N24*'Emission Factors'!S26)+(N25*'Emission Factors'!AB7)+(N26*'Emission Factors'!AB8)+N27+0.0459487978366754</f>
        <v>0.51141520150104625</v>
      </c>
      <c r="O28" s="20" t="s">
        <v>622</v>
      </c>
      <c r="R28" s="2">
        <f>N28+N19</f>
        <v>0.74911520150104627</v>
      </c>
      <c r="T28" s="97">
        <f>-R28/$R$18</f>
        <v>0.5475988315066127</v>
      </c>
      <c r="U28" s="2">
        <f>R28/'Energy &amp; Unit Conversions'!$E$15</f>
        <v>3.728054152986196E-2</v>
      </c>
      <c r="X28" t="s">
        <v>125</v>
      </c>
      <c r="Z28" t="s">
        <v>598</v>
      </c>
    </row>
    <row r="29" spans="1:72" x14ac:dyDescent="0.35">
      <c r="A29" s="31"/>
      <c r="C29" s="49" t="s">
        <v>62</v>
      </c>
      <c r="D29" s="35"/>
      <c r="E29" s="35"/>
      <c r="F29" s="352">
        <f>'Emission Factors'!S8</f>
        <v>1.36755726371863</v>
      </c>
      <c r="G29" s="77" t="s">
        <v>622</v>
      </c>
      <c r="H29" s="35"/>
      <c r="I29" s="35"/>
      <c r="J29" s="36">
        <f>F29</f>
        <v>1.36755726371863</v>
      </c>
      <c r="K29" s="77" t="s">
        <v>622</v>
      </c>
      <c r="L29" s="35"/>
      <c r="M29" s="35"/>
      <c r="N29" s="50">
        <f>J29</f>
        <v>1.36755726371863</v>
      </c>
      <c r="O29" s="77" t="s">
        <v>622</v>
      </c>
      <c r="P29" s="35"/>
      <c r="Q29" s="35"/>
      <c r="R29" s="36">
        <f>N29</f>
        <v>1.36755726371863</v>
      </c>
      <c r="S29" s="35"/>
      <c r="T29" s="104">
        <f>-R29/$R$18</f>
        <v>0.99967636236741952</v>
      </c>
      <c r="U29" s="2">
        <f>R29/'Energy &amp; Unit Conversions'!$E$15</f>
        <v>6.805799062997063E-2</v>
      </c>
      <c r="Z29" t="s">
        <v>213</v>
      </c>
      <c r="AA29" t="s">
        <v>214</v>
      </c>
      <c r="AB29" t="s">
        <v>215</v>
      </c>
    </row>
    <row r="30" spans="1:72" x14ac:dyDescent="0.35">
      <c r="C30" s="34" t="s">
        <v>33</v>
      </c>
      <c r="D30" s="35"/>
      <c r="E30" s="35"/>
      <c r="F30" s="328"/>
      <c r="G30" s="35"/>
      <c r="H30" s="35"/>
      <c r="I30" s="35"/>
      <c r="J30" s="35"/>
      <c r="K30" s="35"/>
      <c r="L30" s="35"/>
      <c r="M30" s="35"/>
      <c r="N30" s="35"/>
      <c r="O30" s="35"/>
      <c r="P30" s="35"/>
      <c r="Q30" s="35"/>
      <c r="R30" s="36">
        <f>R29+R28+R20+R18</f>
        <v>1.0376984652196761</v>
      </c>
      <c r="S30" s="35"/>
      <c r="T30" s="103">
        <f>T28+T20+T18+T29</f>
        <v>0.75855150966350593</v>
      </c>
      <c r="U30" s="2">
        <f>SUM(U18:U29)</f>
        <v>5.1642204897963367E-2</v>
      </c>
      <c r="W30" s="2"/>
      <c r="Y30" s="2" t="s">
        <v>429</v>
      </c>
      <c r="Z30" s="2">
        <v>0.38513513513513509</v>
      </c>
    </row>
    <row r="31" spans="1:72" x14ac:dyDescent="0.35">
      <c r="C31" s="28" t="s">
        <v>81</v>
      </c>
      <c r="D31" s="12"/>
      <c r="E31" s="12"/>
      <c r="F31" s="329"/>
      <c r="G31" s="12"/>
      <c r="H31" s="12"/>
      <c r="I31" s="47">
        <f>K11</f>
        <v>2</v>
      </c>
      <c r="J31" s="58" t="str">
        <f>VLOOKUP(I31,'Emission Factors'!B6:C8,2,FALSE)</f>
        <v>Natural gas</v>
      </c>
      <c r="K31">
        <f>VLOOKUP(I31,'Emission Factors'!F6:G8,2,FALSE)</f>
        <v>0.49</v>
      </c>
      <c r="L31" s="12"/>
      <c r="M31" s="24" t="s">
        <v>444</v>
      </c>
      <c r="R31" s="24"/>
      <c r="S31" s="12"/>
    </row>
    <row r="32" spans="1:72" x14ac:dyDescent="0.35">
      <c r="C32" s="28" t="s">
        <v>15</v>
      </c>
      <c r="F32" s="319"/>
      <c r="I32" s="43">
        <f>X11</f>
        <v>2</v>
      </c>
      <c r="J32" s="24" t="str">
        <f>VLOOKUP(I32,'Emission Factors'!B34:C36,2,FALSE)</f>
        <v>Natural gas power plant</v>
      </c>
      <c r="K32">
        <f>VLOOKUP(I32,'Emission Factors'!F34:G36,2,FALSE)</f>
        <v>0.18</v>
      </c>
    </row>
    <row r="33" spans="1:27" x14ac:dyDescent="0.35">
      <c r="F33" s="319"/>
    </row>
    <row r="34" spans="1:27" x14ac:dyDescent="0.35">
      <c r="F34" s="319"/>
    </row>
    <row r="35" spans="1:27" x14ac:dyDescent="0.35">
      <c r="C35" s="40" t="s">
        <v>44</v>
      </c>
      <c r="D35" s="40" t="s">
        <v>51</v>
      </c>
      <c r="E35" s="39"/>
      <c r="F35" s="338" t="s">
        <v>379</v>
      </c>
      <c r="G35" s="39" t="s">
        <v>428</v>
      </c>
      <c r="H35" s="39"/>
      <c r="I35" s="39"/>
      <c r="J35" s="39"/>
      <c r="K35" s="39"/>
      <c r="L35" s="39"/>
      <c r="M35" s="39"/>
      <c r="N35" s="39"/>
      <c r="O35" s="39"/>
      <c r="P35" s="39"/>
      <c r="Q35" s="39"/>
      <c r="R35" s="39"/>
      <c r="S35" s="39"/>
      <c r="T35" s="39"/>
    </row>
    <row r="36" spans="1:27" x14ac:dyDescent="0.35">
      <c r="F36" s="319" t="s">
        <v>36</v>
      </c>
      <c r="J36" t="s">
        <v>41</v>
      </c>
      <c r="N36" t="s">
        <v>57</v>
      </c>
    </row>
    <row r="37" spans="1:27" x14ac:dyDescent="0.35">
      <c r="A37" t="s">
        <v>58</v>
      </c>
      <c r="C37" t="s">
        <v>27</v>
      </c>
      <c r="F37" s="319" t="s">
        <v>34</v>
      </c>
      <c r="G37" t="s">
        <v>35</v>
      </c>
      <c r="J37" s="7" t="s">
        <v>34</v>
      </c>
      <c r="K37" t="s">
        <v>35</v>
      </c>
      <c r="N37" s="7" t="s">
        <v>34</v>
      </c>
      <c r="O37" t="s">
        <v>35</v>
      </c>
      <c r="R37" s="37" t="s">
        <v>597</v>
      </c>
      <c r="T37" s="37" t="s">
        <v>598</v>
      </c>
      <c r="U37" t="s">
        <v>599</v>
      </c>
    </row>
    <row r="38" spans="1:27" x14ac:dyDescent="0.35">
      <c r="A38" t="s">
        <v>61</v>
      </c>
      <c r="C38" s="18" t="s">
        <v>28</v>
      </c>
      <c r="F38" s="309">
        <v>2.75</v>
      </c>
      <c r="G38" s="22" t="s">
        <v>183</v>
      </c>
      <c r="J38" s="2">
        <f>F38</f>
        <v>2.75</v>
      </c>
      <c r="K38" s="22" t="s">
        <v>183</v>
      </c>
      <c r="N38" s="343">
        <f t="shared" ref="N38:N47" si="1">J38</f>
        <v>2.75</v>
      </c>
      <c r="O38" s="22" t="s">
        <v>183</v>
      </c>
      <c r="R38" s="2">
        <f>-N38</f>
        <v>-2.75</v>
      </c>
      <c r="T38" s="38">
        <f>-R38/$R$38</f>
        <v>-1</v>
      </c>
      <c r="U38" s="2">
        <f>R38/'Energy &amp; Unit Conversions'!$E$10</f>
        <v>-5.5E-2</v>
      </c>
    </row>
    <row r="39" spans="1:27" x14ac:dyDescent="0.35">
      <c r="C39" s="20" t="s">
        <v>104</v>
      </c>
      <c r="F39" s="310">
        <v>0.79500000000000004</v>
      </c>
      <c r="G39" t="s">
        <v>625</v>
      </c>
      <c r="J39" s="2">
        <f>F39</f>
        <v>0.79500000000000004</v>
      </c>
      <c r="K39" t="s">
        <v>630</v>
      </c>
      <c r="N39" s="343">
        <f t="shared" si="1"/>
        <v>0.79500000000000004</v>
      </c>
      <c r="O39" t="s">
        <v>630</v>
      </c>
      <c r="U39" s="2"/>
    </row>
    <row r="40" spans="1:27" x14ac:dyDescent="0.35">
      <c r="A40" t="s">
        <v>15</v>
      </c>
      <c r="C40" s="19" t="s">
        <v>29</v>
      </c>
      <c r="D40" s="7"/>
      <c r="E40" s="7"/>
      <c r="F40" s="8">
        <f>K52</f>
        <v>0.18</v>
      </c>
      <c r="G40" s="32" t="s">
        <v>78</v>
      </c>
      <c r="H40" s="7"/>
      <c r="I40" s="7"/>
      <c r="J40" s="33">
        <f>F40</f>
        <v>0.18</v>
      </c>
      <c r="K40" s="32" t="s">
        <v>78</v>
      </c>
      <c r="L40" s="7"/>
      <c r="M40" s="7"/>
      <c r="N40" s="85">
        <f t="shared" si="1"/>
        <v>0.18</v>
      </c>
      <c r="O40" s="32" t="s">
        <v>78</v>
      </c>
      <c r="P40" s="7"/>
      <c r="Q40" s="7"/>
      <c r="R40" s="33">
        <f>N40*(N38+N39)</f>
        <v>0.6381</v>
      </c>
      <c r="S40" s="7"/>
      <c r="T40" s="94">
        <f>-R40/$R$38</f>
        <v>0.23203636363636362</v>
      </c>
      <c r="U40" s="2">
        <f>R40/'Energy &amp; Unit Conversions'!$E$10</f>
        <v>1.2762000000000001E-2</v>
      </c>
    </row>
    <row r="41" spans="1:27" x14ac:dyDescent="0.35">
      <c r="C41" s="20" t="s">
        <v>253</v>
      </c>
      <c r="D41" s="12"/>
      <c r="E41" s="12"/>
      <c r="F41" s="350">
        <v>6.9041482796045458E-3</v>
      </c>
      <c r="G41" s="23" t="s">
        <v>254</v>
      </c>
      <c r="H41" s="12"/>
      <c r="I41" s="12"/>
      <c r="J41" s="55">
        <f>F41</f>
        <v>6.9041482796045458E-3</v>
      </c>
      <c r="K41" s="23" t="s">
        <v>254</v>
      </c>
      <c r="L41" s="12"/>
      <c r="M41" s="12"/>
      <c r="N41" s="46">
        <f>'Main Input &amp; Output'!D146</f>
        <v>6.9041482796045502E-3</v>
      </c>
      <c r="O41" s="23" t="s">
        <v>254</v>
      </c>
      <c r="P41" s="12"/>
      <c r="Q41" s="12"/>
      <c r="R41" s="131"/>
      <c r="S41" s="12"/>
      <c r="T41" s="66"/>
      <c r="U41" s="2"/>
    </row>
    <row r="42" spans="1:27" x14ac:dyDescent="0.35">
      <c r="A42" t="s">
        <v>184</v>
      </c>
      <c r="C42" s="20" t="s">
        <v>6</v>
      </c>
      <c r="F42" s="350">
        <v>3.4965034965034961E-3</v>
      </c>
      <c r="G42" s="23" t="s">
        <v>626</v>
      </c>
      <c r="J42" s="76">
        <f>F42/'Energy &amp; Unit Conversions'!E11</f>
        <v>7.4171177881324029E-5</v>
      </c>
      <c r="K42" s="23" t="s">
        <v>631</v>
      </c>
      <c r="N42" s="84">
        <f>'Main Input &amp; Output'!D147</f>
        <v>7.4171177881324001E-5</v>
      </c>
      <c r="O42" s="23" t="s">
        <v>631</v>
      </c>
      <c r="R42" s="76"/>
      <c r="S42" s="76"/>
      <c r="T42" s="2"/>
      <c r="U42" s="2"/>
    </row>
    <row r="43" spans="1:27" x14ac:dyDescent="0.35">
      <c r="C43" s="20" t="s">
        <v>469</v>
      </c>
      <c r="F43" s="350">
        <v>5.2447552447552398E-3</v>
      </c>
      <c r="G43" s="23" t="s">
        <v>257</v>
      </c>
      <c r="J43" s="76">
        <f>F43</f>
        <v>5.2447552447552398E-3</v>
      </c>
      <c r="K43" s="23" t="s">
        <v>257</v>
      </c>
      <c r="N43" s="132">
        <f t="shared" si="1"/>
        <v>5.2447552447552398E-3</v>
      </c>
      <c r="O43" s="23" t="s">
        <v>257</v>
      </c>
      <c r="R43" s="76"/>
      <c r="S43" s="76"/>
      <c r="T43" s="2"/>
      <c r="U43" s="2"/>
    </row>
    <row r="44" spans="1:27" x14ac:dyDescent="0.35">
      <c r="C44" s="20" t="s">
        <v>256</v>
      </c>
      <c r="F44" s="350">
        <v>2.3076923076923075E-3</v>
      </c>
      <c r="G44" s="23" t="s">
        <v>263</v>
      </c>
      <c r="J44" s="76">
        <f>F44</f>
        <v>2.3076923076923075E-3</v>
      </c>
      <c r="K44" s="23" t="s">
        <v>263</v>
      </c>
      <c r="N44" s="80">
        <f t="shared" si="1"/>
        <v>2.3076923076923075E-3</v>
      </c>
      <c r="O44" s="23" t="s">
        <v>263</v>
      </c>
      <c r="R44" s="76"/>
      <c r="S44" s="76"/>
      <c r="T44" s="2"/>
      <c r="U44" s="2"/>
    </row>
    <row r="45" spans="1:27" x14ac:dyDescent="0.35">
      <c r="A45" s="48"/>
      <c r="C45" s="20" t="s">
        <v>179</v>
      </c>
      <c r="F45" s="350">
        <v>1.9230769230769229E-7</v>
      </c>
      <c r="G45" s="23" t="s">
        <v>627</v>
      </c>
      <c r="J45" s="76">
        <f>F45</f>
        <v>1.9230769230769229E-7</v>
      </c>
      <c r="K45" s="23" t="s">
        <v>627</v>
      </c>
      <c r="N45" s="132">
        <f t="shared" si="1"/>
        <v>1.9230769230769229E-7</v>
      </c>
      <c r="O45" s="23" t="s">
        <v>627</v>
      </c>
      <c r="R45" s="76"/>
      <c r="S45" s="76"/>
      <c r="T45" s="2"/>
      <c r="U45" s="2"/>
    </row>
    <row r="46" spans="1:27" x14ac:dyDescent="0.35">
      <c r="A46" s="48"/>
      <c r="C46" s="20" t="s">
        <v>180</v>
      </c>
      <c r="F46" s="350">
        <v>2.5524475524475521E-5</v>
      </c>
      <c r="G46" s="23" t="s">
        <v>628</v>
      </c>
      <c r="J46" s="76">
        <f>F46</f>
        <v>2.5524475524475521E-5</v>
      </c>
      <c r="K46" s="23" t="s">
        <v>628</v>
      </c>
      <c r="N46" s="132">
        <f t="shared" si="1"/>
        <v>2.5524475524475521E-5</v>
      </c>
      <c r="O46" s="23" t="s">
        <v>628</v>
      </c>
      <c r="R46" s="76"/>
      <c r="S46" s="76"/>
      <c r="T46" s="2"/>
      <c r="U46" s="2"/>
    </row>
    <row r="47" spans="1:27" ht="15.5" x14ac:dyDescent="0.35">
      <c r="A47" s="48"/>
      <c r="C47" s="20" t="s">
        <v>181</v>
      </c>
      <c r="F47" s="311">
        <v>2.4230769230769229E-2</v>
      </c>
      <c r="G47" s="23" t="s">
        <v>605</v>
      </c>
      <c r="J47" s="2">
        <f>F47</f>
        <v>2.4230769230769229E-2</v>
      </c>
      <c r="K47" s="23" t="s">
        <v>605</v>
      </c>
      <c r="N47" s="80">
        <f t="shared" si="1"/>
        <v>2.4230769230769229E-2</v>
      </c>
      <c r="O47" s="23" t="s">
        <v>605</v>
      </c>
      <c r="R47" s="2"/>
      <c r="S47" s="76"/>
      <c r="T47" s="2"/>
      <c r="U47" s="2"/>
      <c r="Z47" s="29"/>
      <c r="AA47" s="30"/>
    </row>
    <row r="48" spans="1:27" x14ac:dyDescent="0.35">
      <c r="A48" s="31"/>
      <c r="C48" s="20" t="s">
        <v>68</v>
      </c>
      <c r="F48" s="313"/>
      <c r="G48" s="23"/>
      <c r="J48" s="2">
        <f>(J42*'Emission Factors'!S21)+(J45*'Emission Factors'!AB7)+(J46*'Emission Factors'!AB8)+J47</f>
        <v>2.4954695761695719E-2</v>
      </c>
      <c r="K48" s="20" t="s">
        <v>629</v>
      </c>
      <c r="L48" s="12"/>
      <c r="M48" s="12"/>
      <c r="N48" s="66">
        <f>(N41*K51)+(N42*'Emission Factors'!S22)+(N43*'Emission Factors'!S24)+(N44*'Emission Factors'!S26)+(N45*'Emission Factors'!AB7)+(N46*'Emission Factors'!AB8)+N47+0.100882969486038</f>
        <v>0.12928949352696417</v>
      </c>
      <c r="O48" s="20" t="s">
        <v>629</v>
      </c>
      <c r="R48" s="2">
        <f>N48+N39</f>
        <v>0.92428949352696421</v>
      </c>
      <c r="T48" s="97">
        <f>-R48/$R$38</f>
        <v>0.33610527037344151</v>
      </c>
      <c r="U48" s="2">
        <f>R48/'Energy &amp; Unit Conversions'!$E$10</f>
        <v>1.8485789870539285E-2</v>
      </c>
      <c r="X48" t="s">
        <v>125</v>
      </c>
      <c r="Z48" t="s">
        <v>598</v>
      </c>
    </row>
    <row r="49" spans="1:45" x14ac:dyDescent="0.35">
      <c r="A49" s="31"/>
      <c r="C49" s="49" t="s">
        <v>62</v>
      </c>
      <c r="D49" s="35"/>
      <c r="E49" s="35"/>
      <c r="F49" s="351">
        <f>'Emission Factors'!S7</f>
        <v>2.75</v>
      </c>
      <c r="G49" s="77" t="s">
        <v>629</v>
      </c>
      <c r="H49" s="35"/>
      <c r="I49" s="35"/>
      <c r="J49" s="36">
        <f>F49</f>
        <v>2.75</v>
      </c>
      <c r="K49" s="77" t="s">
        <v>629</v>
      </c>
      <c r="L49" s="35"/>
      <c r="M49" s="35"/>
      <c r="N49" s="50">
        <f>J49</f>
        <v>2.75</v>
      </c>
      <c r="O49" s="77" t="s">
        <v>629</v>
      </c>
      <c r="P49" s="35"/>
      <c r="Q49" s="35"/>
      <c r="R49" s="36">
        <f>N49</f>
        <v>2.75</v>
      </c>
      <c r="S49" s="35"/>
      <c r="T49" s="104">
        <f>-R49/$R$38</f>
        <v>1</v>
      </c>
      <c r="U49" s="2">
        <f>R49/'Energy &amp; Unit Conversions'!$E$10</f>
        <v>5.5E-2</v>
      </c>
      <c r="Z49" t="s">
        <v>213</v>
      </c>
      <c r="AA49" t="s">
        <v>214</v>
      </c>
      <c r="AB49" t="s">
        <v>215</v>
      </c>
    </row>
    <row r="50" spans="1:45" x14ac:dyDescent="0.35">
      <c r="C50" s="34" t="s">
        <v>33</v>
      </c>
      <c r="D50" s="35"/>
      <c r="E50" s="35"/>
      <c r="F50" s="35"/>
      <c r="G50" s="35"/>
      <c r="H50" s="35"/>
      <c r="I50" s="35"/>
      <c r="J50" s="35"/>
      <c r="K50" s="35"/>
      <c r="L50" s="35"/>
      <c r="M50" s="35"/>
      <c r="N50" s="35"/>
      <c r="O50" s="35"/>
      <c r="P50" s="35"/>
      <c r="Q50" s="35"/>
      <c r="R50" s="36">
        <f>R49+R48+R40+R38</f>
        <v>1.5623894935269638</v>
      </c>
      <c r="S50" s="35"/>
      <c r="T50" s="103">
        <f>T48+T40+T38+T49</f>
        <v>0.56814163400980511</v>
      </c>
      <c r="U50" s="2">
        <f>SUM(U38:U49)</f>
        <v>3.1247789870539288E-2</v>
      </c>
      <c r="Y50" s="82" t="s">
        <v>429</v>
      </c>
      <c r="Z50">
        <v>9.6885813148788927E-2</v>
      </c>
      <c r="AA50" s="74"/>
    </row>
    <row r="51" spans="1:45" ht="15" customHeight="1" x14ac:dyDescent="0.35">
      <c r="C51" s="28" t="s">
        <v>81</v>
      </c>
      <c r="D51" s="12"/>
      <c r="E51" s="12"/>
      <c r="F51" s="12"/>
      <c r="G51" s="12"/>
      <c r="H51" s="12"/>
      <c r="I51" s="47">
        <f>K11</f>
        <v>2</v>
      </c>
      <c r="J51" s="58" t="str">
        <f>L11</f>
        <v>Natural gas</v>
      </c>
      <c r="K51">
        <f>VLOOKUP(J51,'Emission Factors'!C6:G8,5,FALSE)</f>
        <v>0.49</v>
      </c>
      <c r="L51" s="12"/>
      <c r="M51" s="24" t="s">
        <v>445</v>
      </c>
      <c r="R51" s="24"/>
      <c r="S51" s="12"/>
      <c r="Y51" s="82"/>
      <c r="AA51" s="74"/>
    </row>
    <row r="52" spans="1:45" x14ac:dyDescent="0.35">
      <c r="C52" s="28" t="s">
        <v>15</v>
      </c>
      <c r="I52" s="43">
        <f>X11</f>
        <v>2</v>
      </c>
      <c r="J52" s="24" t="str">
        <f>VLOOKUP(I52,'Emission Factors'!B34:C36,2,FALSE)</f>
        <v>Natural gas power plant</v>
      </c>
      <c r="K52">
        <f>VLOOKUP(I52,'Emission Factors'!F34:G36,2,FALSE)</f>
        <v>0.18</v>
      </c>
      <c r="AN52" s="2"/>
      <c r="AO52" s="2"/>
      <c r="AP52" s="2"/>
      <c r="AQ52" s="2"/>
      <c r="AR52" s="2"/>
      <c r="AS52" s="2"/>
    </row>
    <row r="54" spans="1:45" x14ac:dyDescent="0.35">
      <c r="S54" s="2"/>
      <c r="U54" s="2"/>
    </row>
    <row r="55" spans="1:45" x14ac:dyDescent="0.35">
      <c r="S55" s="2"/>
    </row>
  </sheetData>
  <sheetProtection sheet="1" objects="1" scenarios="1"/>
  <mergeCells count="2">
    <mergeCell ref="A2:G3"/>
    <mergeCell ref="I2:I7"/>
  </mergeCells>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DC7307-5C0B-4D91-94F5-2369F0FAFCEF}">
  <sheetPr codeName="Planilha2">
    <tabColor theme="4"/>
  </sheetPr>
  <dimension ref="A2:BG48"/>
  <sheetViews>
    <sheetView zoomScaleNormal="100" workbookViewId="0">
      <selection activeCell="A2" sqref="A2:G3"/>
    </sheetView>
  </sheetViews>
  <sheetFormatPr defaultRowHeight="14.5" x14ac:dyDescent="0.35"/>
  <cols>
    <col min="1" max="1" width="3.453125" customWidth="1"/>
    <col min="3" max="3" width="14.81640625" customWidth="1"/>
    <col min="18" max="45" width="8.90625" customWidth="1"/>
    <col min="46" max="46" width="8.90625" hidden="1" customWidth="1"/>
    <col min="53" max="56" width="0" hidden="1" customWidth="1"/>
  </cols>
  <sheetData>
    <row r="2" spans="1:59" ht="16.5" x14ac:dyDescent="0.45">
      <c r="A2" s="488" t="s">
        <v>563</v>
      </c>
      <c r="B2" s="488"/>
      <c r="C2" s="488"/>
      <c r="D2" s="488"/>
      <c r="E2" s="488"/>
      <c r="F2" s="488"/>
      <c r="G2" s="488"/>
      <c r="H2" s="157"/>
      <c r="I2" s="489" t="s">
        <v>517</v>
      </c>
      <c r="J2" s="302" t="s">
        <v>519</v>
      </c>
      <c r="K2" s="302"/>
      <c r="L2" s="302"/>
      <c r="M2" s="4" t="s">
        <v>522</v>
      </c>
      <c r="N2" s="4"/>
      <c r="O2" s="4"/>
      <c r="P2" s="4"/>
      <c r="Q2" s="4"/>
      <c r="R2" s="4"/>
      <c r="S2" s="4"/>
      <c r="T2" s="4"/>
      <c r="U2" s="4"/>
      <c r="V2" s="4"/>
      <c r="W2" s="5"/>
      <c r="Y2" s="43"/>
      <c r="Z2" t="s">
        <v>528</v>
      </c>
    </row>
    <row r="3" spans="1:59" ht="16.5" x14ac:dyDescent="0.45">
      <c r="A3" s="488"/>
      <c r="B3" s="488"/>
      <c r="C3" s="488"/>
      <c r="D3" s="488"/>
      <c r="E3" s="488"/>
      <c r="F3" s="488"/>
      <c r="G3" s="488"/>
      <c r="H3" s="157"/>
      <c r="I3" s="490"/>
      <c r="J3" s="296" t="s">
        <v>520</v>
      </c>
      <c r="K3" s="296"/>
      <c r="L3" s="296"/>
      <c r="M3" s="12" t="s">
        <v>523</v>
      </c>
      <c r="N3" s="12"/>
      <c r="O3" s="12"/>
      <c r="P3" s="12"/>
      <c r="Q3" s="12"/>
      <c r="R3" s="12"/>
      <c r="S3" s="12"/>
      <c r="T3" s="12"/>
      <c r="U3" s="12"/>
      <c r="V3" s="12"/>
      <c r="W3" s="25"/>
    </row>
    <row r="4" spans="1:59" ht="15.5" x14ac:dyDescent="0.35">
      <c r="B4" s="27"/>
      <c r="C4" s="229"/>
      <c r="D4" s="229"/>
      <c r="E4" s="229"/>
      <c r="F4" s="229"/>
      <c r="G4" s="229"/>
      <c r="H4" s="229"/>
      <c r="I4" s="490"/>
      <c r="J4" s="303" t="s">
        <v>143</v>
      </c>
      <c r="K4" s="304"/>
      <c r="L4" s="304"/>
      <c r="M4" s="12" t="s">
        <v>518</v>
      </c>
      <c r="N4" s="12"/>
      <c r="O4" s="12"/>
      <c r="P4" s="12"/>
      <c r="Q4" s="12"/>
      <c r="R4" s="12"/>
      <c r="S4" s="12"/>
      <c r="T4" s="12"/>
      <c r="U4" s="12"/>
      <c r="V4" s="12"/>
      <c r="W4" s="25"/>
    </row>
    <row r="5" spans="1:59" ht="16.5" x14ac:dyDescent="0.45">
      <c r="C5" t="s">
        <v>47</v>
      </c>
      <c r="F5" t="s">
        <v>48</v>
      </c>
      <c r="H5" s="29"/>
      <c r="I5" s="490"/>
      <c r="J5" s="305" t="s">
        <v>521</v>
      </c>
      <c r="K5" s="305"/>
      <c r="L5" s="305"/>
      <c r="M5" s="12" t="s">
        <v>524</v>
      </c>
      <c r="N5" s="12"/>
      <c r="O5" s="12"/>
      <c r="P5" s="12"/>
      <c r="Q5" s="12"/>
      <c r="R5" s="12"/>
      <c r="S5" s="12"/>
      <c r="T5" s="12"/>
      <c r="U5" s="12"/>
      <c r="V5" s="12"/>
      <c r="W5" s="25"/>
    </row>
    <row r="6" spans="1:59" x14ac:dyDescent="0.35">
      <c r="C6" t="s">
        <v>355</v>
      </c>
      <c r="D6" s="58"/>
      <c r="F6" s="58" t="s">
        <v>55</v>
      </c>
      <c r="I6" s="490"/>
      <c r="J6" s="306" t="s">
        <v>62</v>
      </c>
      <c r="K6" s="307"/>
      <c r="L6" s="307"/>
      <c r="M6" s="12" t="s">
        <v>525</v>
      </c>
      <c r="N6" s="12"/>
      <c r="O6" s="12"/>
      <c r="P6" s="12"/>
      <c r="Q6" s="12"/>
      <c r="R6" s="12"/>
      <c r="S6" s="12"/>
      <c r="T6" s="12"/>
      <c r="U6" s="12"/>
      <c r="V6" s="12"/>
      <c r="W6" s="25"/>
    </row>
    <row r="7" spans="1:59" x14ac:dyDescent="0.35">
      <c r="C7" t="s">
        <v>356</v>
      </c>
      <c r="D7" s="58"/>
      <c r="F7" s="58"/>
      <c r="I7" s="491"/>
      <c r="J7" s="308" t="s">
        <v>33</v>
      </c>
      <c r="K7" s="308"/>
      <c r="L7" s="308"/>
      <c r="M7" s="7" t="s">
        <v>526</v>
      </c>
      <c r="N7" s="7"/>
      <c r="O7" s="7"/>
      <c r="P7" s="7"/>
      <c r="Q7" s="7"/>
      <c r="R7" s="7"/>
      <c r="S7" s="7"/>
      <c r="T7" s="7"/>
      <c r="U7" s="7"/>
      <c r="V7" s="7"/>
      <c r="W7" s="26"/>
    </row>
    <row r="8" spans="1:59" ht="15.5" x14ac:dyDescent="0.35">
      <c r="D8" s="58"/>
      <c r="F8" s="58"/>
      <c r="H8" s="27"/>
      <c r="I8" s="30"/>
    </row>
    <row r="9" spans="1:59" ht="15.5" x14ac:dyDescent="0.35">
      <c r="D9" s="58"/>
      <c r="F9" s="58"/>
      <c r="H9" s="29"/>
      <c r="I9" s="30"/>
    </row>
    <row r="10" spans="1:59" ht="15.5" x14ac:dyDescent="0.35">
      <c r="D10" s="111"/>
      <c r="G10" s="229"/>
      <c r="L10" t="s">
        <v>64</v>
      </c>
      <c r="O10" t="s">
        <v>65</v>
      </c>
      <c r="S10" t="s">
        <v>66</v>
      </c>
      <c r="V10" t="s">
        <v>67</v>
      </c>
      <c r="Y10" t="s">
        <v>15</v>
      </c>
      <c r="AK10" s="3" t="s">
        <v>186</v>
      </c>
      <c r="AL10" s="4"/>
      <c r="AM10" s="4"/>
      <c r="AN10" s="4"/>
      <c r="AO10" s="4"/>
      <c r="AP10" s="4"/>
      <c r="AQ10" s="4"/>
      <c r="AR10" s="4"/>
      <c r="AS10" s="5"/>
      <c r="AU10" s="3" t="s">
        <v>186</v>
      </c>
      <c r="AV10" s="4"/>
      <c r="AW10" s="4"/>
      <c r="AX10" s="4"/>
      <c r="AY10" s="4"/>
      <c r="AZ10" s="5"/>
      <c r="BE10" s="371" t="s">
        <v>186</v>
      </c>
      <c r="BF10" s="371" t="s">
        <v>186</v>
      </c>
    </row>
    <row r="11" spans="1:59" x14ac:dyDescent="0.35">
      <c r="B11" s="35" t="s">
        <v>63</v>
      </c>
      <c r="C11" s="63"/>
      <c r="D11" s="35"/>
      <c r="E11" s="35"/>
      <c r="F11" s="63"/>
      <c r="G11" s="35"/>
      <c r="H11" s="63"/>
      <c r="I11" s="63"/>
      <c r="J11" s="35"/>
      <c r="K11" s="35"/>
      <c r="L11" s="44">
        <f>'Emission Factors'!G9</f>
        <v>2</v>
      </c>
      <c r="M11" s="44" t="str">
        <f>'Emission Factors'!C10</f>
        <v>Natural gas</v>
      </c>
      <c r="N11" s="44">
        <f>'Emission Factors'!G10</f>
        <v>0.49</v>
      </c>
      <c r="O11" s="44">
        <f>'Emission Factors'!G23</f>
        <v>2</v>
      </c>
      <c r="P11" s="44" t="str">
        <f>'Emission Factors'!C24</f>
        <v>Natural gas industrial furnace</v>
      </c>
      <c r="Q11" s="44">
        <f>'Emission Factors'!G24</f>
        <v>0.25</v>
      </c>
      <c r="R11" s="35"/>
      <c r="S11" s="44"/>
      <c r="T11" s="44"/>
      <c r="U11" s="35"/>
      <c r="V11" s="44"/>
      <c r="W11" s="44"/>
      <c r="X11" s="35"/>
      <c r="Y11" s="44">
        <f>'Emission Factors'!G37</f>
        <v>2</v>
      </c>
      <c r="Z11" s="44" t="str">
        <f>'Emission Factors'!C38</f>
        <v>Natural gas power plant</v>
      </c>
      <c r="AA11" s="44">
        <f>'Emission Factors'!G38</f>
        <v>0.18</v>
      </c>
      <c r="AH11" t="s">
        <v>82</v>
      </c>
      <c r="AK11" s="194" t="s">
        <v>598</v>
      </c>
      <c r="AL11" s="12"/>
      <c r="AM11" s="12"/>
      <c r="AN11" s="12"/>
      <c r="AO11" s="12"/>
      <c r="AP11" s="12"/>
      <c r="AQ11" s="12"/>
      <c r="AR11" s="12"/>
      <c r="AS11" s="25"/>
      <c r="AU11" s="194" t="s">
        <v>597</v>
      </c>
      <c r="AV11" s="12"/>
      <c r="AW11" s="12"/>
      <c r="AX11" s="12"/>
      <c r="AY11" s="12"/>
      <c r="AZ11" s="25"/>
      <c r="BE11" s="387" t="s">
        <v>532</v>
      </c>
      <c r="BF11" s="387" t="s">
        <v>185</v>
      </c>
    </row>
    <row r="12" spans="1:59" x14ac:dyDescent="0.35">
      <c r="AE12" s="24"/>
      <c r="AF12" s="24"/>
      <c r="AG12" s="24"/>
      <c r="AH12" s="24" t="s">
        <v>83</v>
      </c>
      <c r="AI12" s="24" t="s">
        <v>84</v>
      </c>
      <c r="AJ12" s="24" t="s">
        <v>85</v>
      </c>
      <c r="AK12" s="118" t="s">
        <v>61</v>
      </c>
      <c r="AL12" s="58" t="s">
        <v>15</v>
      </c>
      <c r="AM12" s="58" t="s">
        <v>143</v>
      </c>
      <c r="AN12" s="58" t="s">
        <v>60</v>
      </c>
      <c r="AO12" s="58" t="s">
        <v>62</v>
      </c>
      <c r="AP12" s="58" t="s">
        <v>33</v>
      </c>
      <c r="AQ12" s="58" t="s">
        <v>136</v>
      </c>
      <c r="AR12" s="58" t="s">
        <v>137</v>
      </c>
      <c r="AS12" s="117" t="s">
        <v>138</v>
      </c>
      <c r="AT12" s="58" t="s">
        <v>139</v>
      </c>
      <c r="AU12" s="118" t="s">
        <v>61</v>
      </c>
      <c r="AV12" s="58" t="s">
        <v>15</v>
      </c>
      <c r="AW12" s="58" t="s">
        <v>143</v>
      </c>
      <c r="AX12" s="58" t="s">
        <v>60</v>
      </c>
      <c r="AY12" s="58" t="s">
        <v>62</v>
      </c>
      <c r="AZ12" s="117" t="s">
        <v>33</v>
      </c>
      <c r="BA12" s="24" t="s">
        <v>136</v>
      </c>
      <c r="BB12" s="24" t="s">
        <v>137</v>
      </c>
      <c r="BC12" s="24" t="s">
        <v>138</v>
      </c>
      <c r="BD12" s="58" t="s">
        <v>139</v>
      </c>
      <c r="BE12" s="381" t="s">
        <v>597</v>
      </c>
      <c r="BF12" s="381" t="s">
        <v>617</v>
      </c>
      <c r="BG12" s="24"/>
    </row>
    <row r="13" spans="1:59" x14ac:dyDescent="0.35">
      <c r="B13" s="16" t="s">
        <v>46</v>
      </c>
      <c r="C13" s="16" t="s">
        <v>355</v>
      </c>
      <c r="D13" s="16"/>
      <c r="E13" s="15"/>
      <c r="F13" s="15" t="s">
        <v>377</v>
      </c>
      <c r="G13" s="15"/>
      <c r="H13" s="15"/>
      <c r="I13" s="15"/>
      <c r="J13" s="15"/>
      <c r="K13" s="15"/>
      <c r="L13" s="15"/>
      <c r="M13" s="15"/>
      <c r="N13" s="15"/>
      <c r="O13" s="15"/>
      <c r="P13" s="15"/>
      <c r="Q13" s="15"/>
      <c r="R13" s="24"/>
      <c r="S13" s="24"/>
      <c r="T13" s="24"/>
      <c r="AE13" s="24"/>
      <c r="AF13" s="24"/>
      <c r="AG13" s="24"/>
      <c r="AH13" s="24" t="s">
        <v>376</v>
      </c>
      <c r="AI13" s="24" t="s">
        <v>377</v>
      </c>
      <c r="AJ13" s="24" t="s">
        <v>55</v>
      </c>
      <c r="AK13" s="119">
        <f>Q18</f>
        <v>-1</v>
      </c>
      <c r="AL13" s="66">
        <f>Q20</f>
        <v>0.18</v>
      </c>
      <c r="AM13" s="66">
        <v>0</v>
      </c>
      <c r="AN13" s="66">
        <f>Q25</f>
        <v>0.59571110150696149</v>
      </c>
      <c r="AO13" s="66">
        <f>Q26</f>
        <v>0.36183724708314868</v>
      </c>
      <c r="AP13" s="66">
        <f>Q27</f>
        <v>0.13754834859011023</v>
      </c>
      <c r="AQ13" s="66">
        <f>IF(I28=2,V23,"")</f>
        <v>1.9269005847953216</v>
      </c>
      <c r="AR13" s="66">
        <f>IF(I28=2,V24,"")</f>
        <v>0</v>
      </c>
      <c r="AS13" s="129">
        <f>IF(I28=2,V25,"")</f>
        <v>0.64327485380116967</v>
      </c>
      <c r="AT13" s="66"/>
      <c r="AU13" s="119">
        <f>O18</f>
        <v>-8.1252000000000013</v>
      </c>
      <c r="AV13" s="66">
        <f>O20</f>
        <v>1.4625360000000003</v>
      </c>
      <c r="AW13" s="66">
        <v>0</v>
      </c>
      <c r="AX13" s="66">
        <f>O25</f>
        <v>4.8402718419643644</v>
      </c>
      <c r="AY13" s="66">
        <f>O26</f>
        <v>2.94</v>
      </c>
      <c r="AZ13" s="129">
        <f>O27</f>
        <v>1.1176078419643627</v>
      </c>
      <c r="BA13" s="80"/>
      <c r="BB13" s="80"/>
      <c r="BC13" s="80"/>
      <c r="BD13" s="66"/>
      <c r="BE13" s="388">
        <f>Incumbents!I23-O27</f>
        <v>2.5470782651230177</v>
      </c>
      <c r="BF13" s="390">
        <f>BE13*Constants!$C$9*0.5</f>
        <v>1.4645700024457351</v>
      </c>
      <c r="BG13" s="24"/>
    </row>
    <row r="14" spans="1:59" x14ac:dyDescent="0.35">
      <c r="N14" s="24"/>
      <c r="R14" s="24"/>
      <c r="S14" s="24"/>
      <c r="T14" s="24"/>
      <c r="AE14" s="24"/>
      <c r="AF14" s="24"/>
      <c r="AG14" s="24"/>
      <c r="AH14" s="24" t="s">
        <v>376</v>
      </c>
      <c r="AI14" s="24" t="s">
        <v>378</v>
      </c>
      <c r="AJ14" s="24" t="s">
        <v>55</v>
      </c>
      <c r="AK14" s="369">
        <f>Q38</f>
        <v>-1</v>
      </c>
      <c r="AL14" s="85">
        <f>Q40</f>
        <v>0.18</v>
      </c>
      <c r="AM14" s="89">
        <v>0</v>
      </c>
      <c r="AN14" s="85">
        <f>Q43</f>
        <v>0.11278106508875739</v>
      </c>
      <c r="AO14" s="85">
        <f>Q44</f>
        <v>0.86982248520710059</v>
      </c>
      <c r="AP14" s="85">
        <f>Q45</f>
        <v>0.16260355029585805</v>
      </c>
      <c r="AQ14" s="89">
        <f>IF(I46=2,V43,IF(I46=1,"",IF(I46=3,"","")))</f>
        <v>2.5105263157894737</v>
      </c>
      <c r="AR14" s="89">
        <f>IF(I46=2,V44,IF(I46=1,"",IF(I46=3,"","")))</f>
        <v>7.8947368421052599E-2</v>
      </c>
      <c r="AS14" s="385">
        <f>IF(I46=2,V45,IF(I46=1,"",IF(I46=3,"","")))</f>
        <v>0.49473684210526298</v>
      </c>
      <c r="AT14" s="24"/>
      <c r="AU14" s="369">
        <f>O38</f>
        <v>-3.38</v>
      </c>
      <c r="AV14" s="85">
        <f>O40</f>
        <v>0.60839999999999994</v>
      </c>
      <c r="AW14" s="89">
        <v>0</v>
      </c>
      <c r="AX14" s="85">
        <f>O43</f>
        <v>0.38119999999999998</v>
      </c>
      <c r="AY14" s="85">
        <f>O44</f>
        <v>2.94</v>
      </c>
      <c r="AZ14" s="386">
        <f>O45</f>
        <v>0.54960000000000031</v>
      </c>
      <c r="BA14" s="24"/>
      <c r="BB14" s="24"/>
      <c r="BC14" s="24"/>
      <c r="BD14" s="58"/>
      <c r="BE14" s="389">
        <f>Incumbents!I23-O45</f>
        <v>3.1150861070873801</v>
      </c>
      <c r="BF14" s="391">
        <f>BE14*Constants!$C$9*0.5</f>
        <v>1.7911745115752433</v>
      </c>
      <c r="BG14" s="24"/>
    </row>
    <row r="15" spans="1:59" x14ac:dyDescent="0.35">
      <c r="C15" s="40" t="s">
        <v>44</v>
      </c>
      <c r="D15" s="40" t="s">
        <v>55</v>
      </c>
      <c r="E15" s="39"/>
      <c r="F15" s="39" t="s">
        <v>379</v>
      </c>
      <c r="G15" s="39" t="s">
        <v>395</v>
      </c>
      <c r="H15" s="39"/>
      <c r="I15" s="39"/>
      <c r="J15" s="39"/>
      <c r="K15" s="39"/>
      <c r="L15" s="39"/>
      <c r="M15" s="39"/>
      <c r="N15" s="39"/>
      <c r="O15" s="39"/>
      <c r="P15" s="39"/>
      <c r="Q15" s="39"/>
      <c r="R15" s="24"/>
      <c r="S15" s="24"/>
      <c r="T15" s="24"/>
      <c r="AE15" s="24"/>
      <c r="AF15" s="24"/>
      <c r="AG15" s="24"/>
      <c r="AH15" s="24"/>
    </row>
    <row r="16" spans="1:59" x14ac:dyDescent="0.35">
      <c r="D16" t="s">
        <v>36</v>
      </c>
      <c r="G16" t="s">
        <v>41</v>
      </c>
      <c r="K16" t="s">
        <v>57</v>
      </c>
      <c r="AA16" s="24"/>
      <c r="AB16" s="24"/>
      <c r="AC16" s="24"/>
      <c r="AD16" s="24"/>
      <c r="AE16" s="24"/>
      <c r="AF16" s="24"/>
      <c r="AG16" s="24"/>
      <c r="AH16" s="24"/>
      <c r="AI16" s="24"/>
      <c r="AJ16" s="24"/>
      <c r="AK16" s="24"/>
      <c r="AL16" s="24"/>
      <c r="AM16" s="24"/>
      <c r="AN16" s="24"/>
      <c r="AO16" s="24"/>
      <c r="AP16" s="24"/>
      <c r="AQ16" s="24"/>
      <c r="AR16" s="24"/>
      <c r="AS16" s="24"/>
      <c r="BF16" s="24"/>
      <c r="BG16" s="24"/>
    </row>
    <row r="17" spans="1:59" x14ac:dyDescent="0.35">
      <c r="C17" t="s">
        <v>27</v>
      </c>
      <c r="D17" t="s">
        <v>34</v>
      </c>
      <c r="E17" t="s">
        <v>35</v>
      </c>
      <c r="G17" s="7" t="s">
        <v>34</v>
      </c>
      <c r="H17" t="s">
        <v>35</v>
      </c>
      <c r="J17" s="12"/>
      <c r="K17" s="7" t="s">
        <v>34</v>
      </c>
      <c r="L17" t="s">
        <v>35</v>
      </c>
      <c r="O17" s="37" t="s">
        <v>597</v>
      </c>
      <c r="Q17" s="37" t="s">
        <v>598</v>
      </c>
      <c r="R17" t="s">
        <v>599</v>
      </c>
      <c r="AA17" s="24"/>
      <c r="AB17" s="24"/>
      <c r="AC17" s="24"/>
      <c r="AD17" s="24"/>
      <c r="AE17" s="24"/>
      <c r="AF17" s="24"/>
      <c r="AG17" s="24"/>
      <c r="AH17" s="24"/>
      <c r="AI17" s="24"/>
      <c r="AJ17" s="24"/>
      <c r="AK17" s="24"/>
      <c r="AL17" s="24"/>
      <c r="AM17" s="24"/>
      <c r="AN17" s="24"/>
      <c r="AO17" s="24"/>
      <c r="AP17" s="24"/>
      <c r="BF17" s="24"/>
      <c r="BG17" s="24"/>
    </row>
    <row r="18" spans="1:59" x14ac:dyDescent="0.35">
      <c r="C18" s="18" t="s">
        <v>28</v>
      </c>
      <c r="D18" s="309">
        <v>1.83</v>
      </c>
      <c r="E18" s="22" t="s">
        <v>357</v>
      </c>
      <c r="G18" s="2">
        <f>D19*D18</f>
        <v>8.1252000000000013</v>
      </c>
      <c r="H18" s="22" t="s">
        <v>373</v>
      </c>
      <c r="J18" s="2"/>
      <c r="K18" s="343">
        <f>G18</f>
        <v>8.1252000000000013</v>
      </c>
      <c r="L18" s="22" t="s">
        <v>373</v>
      </c>
      <c r="O18" s="2">
        <f>-K18</f>
        <v>-8.1252000000000013</v>
      </c>
      <c r="Q18" s="38">
        <f>-O18/$O$18</f>
        <v>-1</v>
      </c>
      <c r="R18" s="2">
        <f>O18/'Energy &amp; Unit Conversions'!$E$14</f>
        <v>-0.18787892801812844</v>
      </c>
      <c r="U18" s="2"/>
      <c r="AA18" s="24"/>
      <c r="AB18" s="24"/>
      <c r="AC18" s="24"/>
      <c r="AD18" s="24"/>
      <c r="AE18" s="24"/>
      <c r="AF18" s="24"/>
      <c r="AG18" s="24"/>
      <c r="AH18" s="24"/>
      <c r="AI18" s="24"/>
      <c r="AJ18" s="24"/>
      <c r="AK18" s="24"/>
      <c r="AL18" s="24"/>
      <c r="AM18" s="24"/>
      <c r="AN18" s="24"/>
      <c r="AO18" s="24"/>
      <c r="AP18" s="24"/>
      <c r="BF18" s="24"/>
      <c r="BG18" s="24"/>
    </row>
    <row r="19" spans="1:59" x14ac:dyDescent="0.35">
      <c r="C19" s="20"/>
      <c r="D19" s="310">
        <v>4.4400000000000004</v>
      </c>
      <c r="E19" t="s">
        <v>358</v>
      </c>
      <c r="G19" s="2"/>
      <c r="K19" s="2"/>
      <c r="R19" s="2"/>
      <c r="U19" s="2"/>
      <c r="AA19" s="24"/>
      <c r="AB19" s="24"/>
      <c r="AC19" s="24"/>
      <c r="AD19" s="24"/>
      <c r="AE19" s="24"/>
      <c r="AF19" s="24"/>
      <c r="AG19" s="24"/>
      <c r="AH19" s="24"/>
      <c r="AI19" s="24"/>
      <c r="AJ19" s="24"/>
      <c r="AK19" s="24"/>
      <c r="AL19" s="24"/>
      <c r="AM19" s="24"/>
      <c r="AN19" s="24"/>
      <c r="AO19" s="24"/>
      <c r="AP19" s="24"/>
      <c r="BF19" s="24"/>
      <c r="BG19" s="24"/>
    </row>
    <row r="20" spans="1:59" x14ac:dyDescent="0.35">
      <c r="C20" s="19" t="s">
        <v>29</v>
      </c>
      <c r="D20" s="8">
        <f>K29</f>
        <v>0.18</v>
      </c>
      <c r="E20" s="32" t="s">
        <v>78</v>
      </c>
      <c r="F20" s="7"/>
      <c r="G20" s="33">
        <f>D20</f>
        <v>0.18</v>
      </c>
      <c r="H20" s="32" t="s">
        <v>78</v>
      </c>
      <c r="I20" s="7"/>
      <c r="J20" s="2"/>
      <c r="K20" s="85">
        <f>G20</f>
        <v>0.18</v>
      </c>
      <c r="L20" s="32" t="s">
        <v>78</v>
      </c>
      <c r="M20" s="7"/>
      <c r="N20" s="7"/>
      <c r="O20" s="33">
        <f>K20*K18</f>
        <v>1.4625360000000003</v>
      </c>
      <c r="P20" s="7"/>
      <c r="Q20" s="94">
        <f>-O20/$O$18</f>
        <v>0.18</v>
      </c>
      <c r="R20" s="2">
        <f>O20/'Energy &amp; Unit Conversions'!$E$14</f>
        <v>3.3818207043263125E-2</v>
      </c>
      <c r="U20" s="2"/>
      <c r="AA20" s="24"/>
      <c r="AB20" s="24"/>
      <c r="AC20" s="24"/>
      <c r="AD20" s="24"/>
      <c r="AE20" s="24"/>
      <c r="AF20" s="24"/>
      <c r="AG20" s="24"/>
      <c r="AH20" s="24"/>
      <c r="AI20" s="24"/>
      <c r="AJ20" s="24"/>
      <c r="AK20" s="24"/>
      <c r="AL20" s="24"/>
      <c r="AM20" s="24"/>
      <c r="AN20" s="24"/>
      <c r="AO20" s="24"/>
      <c r="AP20" s="24"/>
      <c r="AT20" s="24"/>
      <c r="AU20" s="24"/>
      <c r="AV20" s="24"/>
      <c r="AW20" s="24"/>
      <c r="AX20" s="24"/>
      <c r="AY20" s="24"/>
      <c r="AZ20" s="24"/>
      <c r="BA20" s="24"/>
      <c r="BB20" s="24"/>
      <c r="BC20" s="24"/>
      <c r="BD20" s="24"/>
      <c r="BE20" s="24"/>
      <c r="BF20" s="24"/>
      <c r="BG20" s="24"/>
    </row>
    <row r="21" spans="1:59" x14ac:dyDescent="0.35">
      <c r="C21" s="20" t="s">
        <v>242</v>
      </c>
      <c r="D21" s="337">
        <v>21.742068</v>
      </c>
      <c r="E21" s="230" t="s">
        <v>360</v>
      </c>
      <c r="G21" s="2">
        <f>D21*'Energy &amp; Unit Conversions'!R8</f>
        <v>6.0877790400000009</v>
      </c>
      <c r="H21" s="230" t="s">
        <v>362</v>
      </c>
      <c r="J21" s="2" t="s">
        <v>45</v>
      </c>
      <c r="K21" s="120">
        <f>'Main Input &amp; Output'!D64</f>
        <v>6.08777904</v>
      </c>
      <c r="L21" s="23" t="s">
        <v>371</v>
      </c>
      <c r="O21" s="2">
        <f>K21*K28</f>
        <v>2.9830117295999998</v>
      </c>
      <c r="P21" s="2"/>
      <c r="Q21" s="2"/>
      <c r="R21" s="2"/>
      <c r="T21" t="s">
        <v>125</v>
      </c>
      <c r="V21" s="122" t="s">
        <v>598</v>
      </c>
      <c r="W21" s="122"/>
      <c r="X21" s="123"/>
      <c r="Y21" s="124" t="s">
        <v>597</v>
      </c>
      <c r="Z21" s="122"/>
      <c r="AA21" s="123"/>
      <c r="AC21" s="24"/>
      <c r="AD21" s="24"/>
      <c r="AE21" s="24"/>
      <c r="AF21" s="24"/>
      <c r="AG21" s="24"/>
      <c r="AH21" s="24"/>
      <c r="AI21" s="24"/>
      <c r="AJ21" s="24"/>
      <c r="AK21" s="24"/>
      <c r="AL21" s="24"/>
      <c r="AM21" s="24"/>
      <c r="AN21" s="24"/>
      <c r="AO21" s="24"/>
      <c r="AP21" s="24"/>
      <c r="AQ21" s="24"/>
      <c r="AR21" s="24"/>
      <c r="AS21" s="24"/>
      <c r="AT21" s="24"/>
      <c r="AU21" s="24"/>
      <c r="AV21" s="24"/>
      <c r="AW21" s="24"/>
      <c r="AX21" s="24"/>
      <c r="AY21" s="24"/>
      <c r="AZ21" s="24"/>
      <c r="BA21" s="24"/>
      <c r="BB21" s="24"/>
      <c r="BC21" s="24"/>
      <c r="BD21" s="24"/>
      <c r="BE21" s="24"/>
      <c r="BF21" s="24"/>
      <c r="BG21" s="24"/>
    </row>
    <row r="22" spans="1:59" x14ac:dyDescent="0.35">
      <c r="A22" s="48"/>
      <c r="C22" s="20" t="s">
        <v>359</v>
      </c>
      <c r="D22" s="313">
        <v>114</v>
      </c>
      <c r="E22" s="230" t="s">
        <v>360</v>
      </c>
      <c r="G22" s="76">
        <f>D22*'Emission Factors'!S12</f>
        <v>8.642351400000001E-11</v>
      </c>
      <c r="H22" s="230" t="s">
        <v>632</v>
      </c>
      <c r="J22" s="2"/>
      <c r="K22" s="132">
        <f>G22</f>
        <v>8.642351400000001E-11</v>
      </c>
      <c r="L22" s="230" t="s">
        <v>632</v>
      </c>
      <c r="O22" s="2">
        <f>K22</f>
        <v>8.642351400000001E-11</v>
      </c>
      <c r="P22" s="2"/>
      <c r="Q22" s="2"/>
      <c r="R22" s="2"/>
      <c r="V22" s="109" t="s">
        <v>213</v>
      </c>
      <c r="W22" s="109" t="s">
        <v>214</v>
      </c>
      <c r="X22" s="112" t="s">
        <v>215</v>
      </c>
      <c r="Y22" s="69" t="s">
        <v>213</v>
      </c>
      <c r="Z22" s="109" t="s">
        <v>214</v>
      </c>
      <c r="AA22" s="112" t="s">
        <v>215</v>
      </c>
      <c r="AC22" s="24"/>
      <c r="AD22" s="24"/>
      <c r="AE22" s="24"/>
      <c r="AF22" s="24"/>
      <c r="AG22" s="24"/>
      <c r="AH22" s="24"/>
      <c r="AI22" s="24"/>
      <c r="AJ22" s="24"/>
      <c r="AK22" s="24"/>
      <c r="AL22" s="24"/>
      <c r="AM22" s="24"/>
      <c r="AN22" s="24"/>
      <c r="AO22" s="24"/>
      <c r="AP22" s="24"/>
      <c r="AQ22" s="24"/>
      <c r="AR22" s="24"/>
      <c r="AS22" s="24"/>
      <c r="AT22" s="24"/>
      <c r="AU22" s="24"/>
      <c r="AV22" s="24"/>
      <c r="AW22" s="24"/>
      <c r="AX22" s="24"/>
      <c r="AY22" s="24"/>
      <c r="AZ22" s="24"/>
      <c r="BA22" s="24"/>
      <c r="BB22" s="24"/>
      <c r="BC22" s="24"/>
      <c r="BD22" s="24"/>
      <c r="BE22" s="24"/>
      <c r="BF22" s="24"/>
      <c r="BG22" s="24"/>
    </row>
    <row r="23" spans="1:59" x14ac:dyDescent="0.35">
      <c r="A23" s="48"/>
      <c r="C23" s="20" t="s">
        <v>53</v>
      </c>
      <c r="D23" s="319">
        <v>41.15</v>
      </c>
      <c r="E23" s="230" t="s">
        <v>360</v>
      </c>
      <c r="F23" s="72"/>
      <c r="G23" s="231">
        <f>D23*'Emission Factors'!S13/'Emission Factors'!S14</f>
        <v>1.8572601122779413</v>
      </c>
      <c r="H23" s="230" t="s">
        <v>632</v>
      </c>
      <c r="J23" s="2"/>
      <c r="K23" s="80">
        <f>G23</f>
        <v>1.8572601122779413</v>
      </c>
      <c r="L23" s="230" t="s">
        <v>632</v>
      </c>
      <c r="O23" s="2">
        <f>K23</f>
        <v>1.8572601122779413</v>
      </c>
      <c r="Q23" s="2"/>
      <c r="R23" s="2"/>
      <c r="U23" t="s">
        <v>432</v>
      </c>
      <c r="V23" s="12">
        <v>1.9269005847953216</v>
      </c>
      <c r="W23" s="12"/>
      <c r="X23" s="25"/>
      <c r="Y23" s="11"/>
      <c r="Z23" s="58"/>
      <c r="AA23" s="25"/>
    </row>
    <row r="24" spans="1:59" x14ac:dyDescent="0.35">
      <c r="A24" s="48"/>
      <c r="C24" s="20"/>
      <c r="D24" s="319"/>
      <c r="F24" s="72"/>
      <c r="G24" s="23"/>
      <c r="J24" s="2"/>
      <c r="K24" s="80"/>
      <c r="L24" s="121"/>
      <c r="O24" s="2"/>
      <c r="Q24" s="2"/>
      <c r="R24" s="2"/>
      <c r="U24" s="2" t="s">
        <v>434</v>
      </c>
      <c r="V24">
        <v>0</v>
      </c>
    </row>
    <row r="25" spans="1:59" x14ac:dyDescent="0.35">
      <c r="A25" s="31"/>
      <c r="C25" s="20" t="s">
        <v>68</v>
      </c>
      <c r="D25" s="319"/>
      <c r="F25" s="17"/>
      <c r="G25" s="23"/>
      <c r="J25" s="2"/>
      <c r="K25" s="66"/>
      <c r="L25" s="20"/>
      <c r="O25" s="2">
        <f>SUM(O21:O23)</f>
        <v>4.8402718419643644</v>
      </c>
      <c r="Q25" s="232">
        <f>-O25/$O$18</f>
        <v>0.59571110150696149</v>
      </c>
      <c r="R25" s="2">
        <f>O25/'Energy &amp; Unit Conversions'!$E$14</f>
        <v>0.11192156315962644</v>
      </c>
      <c r="U25" t="s">
        <v>435</v>
      </c>
      <c r="V25">
        <v>0.64327485380116967</v>
      </c>
    </row>
    <row r="26" spans="1:59" x14ac:dyDescent="0.35">
      <c r="A26" s="31"/>
      <c r="C26" s="49" t="s">
        <v>62</v>
      </c>
      <c r="D26" s="328">
        <f>'Emission Factors'!S15</f>
        <v>2.94</v>
      </c>
      <c r="E26" s="35" t="s">
        <v>632</v>
      </c>
      <c r="F26" s="81"/>
      <c r="G26" s="77">
        <f>D26</f>
        <v>2.94</v>
      </c>
      <c r="H26" s="35" t="s">
        <v>361</v>
      </c>
      <c r="I26" s="35"/>
      <c r="J26" s="36"/>
      <c r="K26" s="50">
        <f>G26</f>
        <v>2.94</v>
      </c>
      <c r="L26" s="35" t="s">
        <v>361</v>
      </c>
      <c r="M26" s="35"/>
      <c r="N26" s="35"/>
      <c r="O26" s="36">
        <f>K26</f>
        <v>2.94</v>
      </c>
      <c r="P26" s="35"/>
      <c r="Q26" s="104">
        <f>-O26/$O$18</f>
        <v>0.36183724708314868</v>
      </c>
      <c r="R26" s="2">
        <f>O26/'Energy &amp; Unit Conversions'!$E$14</f>
        <v>6.7981594099012652E-2</v>
      </c>
    </row>
    <row r="27" spans="1:59" x14ac:dyDescent="0.35">
      <c r="C27" s="34" t="s">
        <v>33</v>
      </c>
      <c r="D27" s="328"/>
      <c r="E27" s="35"/>
      <c r="F27" s="35"/>
      <c r="G27" s="35"/>
      <c r="H27" s="35"/>
      <c r="I27" s="35"/>
      <c r="J27" s="35"/>
      <c r="K27" s="35"/>
      <c r="L27" s="35"/>
      <c r="M27" s="35"/>
      <c r="N27" s="35"/>
      <c r="O27" s="36">
        <f>O26+O25+O20+O18</f>
        <v>1.1176078419643627</v>
      </c>
      <c r="P27" s="35"/>
      <c r="Q27" s="103">
        <f>Q25+Q20+Q18+Q26</f>
        <v>0.13754834859011023</v>
      </c>
      <c r="R27" s="2">
        <f>O27/'Energy &amp; Unit Conversions'!$E$14</f>
        <v>2.5842436283773734E-2</v>
      </c>
    </row>
    <row r="28" spans="1:59" x14ac:dyDescent="0.35">
      <c r="C28" s="28" t="s">
        <v>81</v>
      </c>
      <c r="D28" s="329"/>
      <c r="E28" s="12"/>
      <c r="F28" s="12"/>
      <c r="G28" s="58"/>
      <c r="H28" s="12"/>
      <c r="I28" s="47">
        <f>L11</f>
        <v>2</v>
      </c>
      <c r="J28" s="58" t="str">
        <f>VLOOKUP(I28,'Emission Factors'!B6:C8,2,FALSE)</f>
        <v>Natural gas</v>
      </c>
      <c r="K28">
        <f>VLOOKUP(I28,'Emission Factors'!F6:G8,2,FALSE)</f>
        <v>0.49</v>
      </c>
      <c r="L28" s="12"/>
      <c r="M28" s="24"/>
      <c r="R28" s="24"/>
      <c r="S28" s="12"/>
    </row>
    <row r="29" spans="1:59" x14ac:dyDescent="0.35">
      <c r="C29" s="28" t="s">
        <v>15</v>
      </c>
      <c r="D29" s="319"/>
      <c r="I29" s="43">
        <f>Y11</f>
        <v>2</v>
      </c>
      <c r="J29" s="24" t="str">
        <f>VLOOKUP(I29,'Emission Factors'!B34:C36,2,FALSE)</f>
        <v>Natural gas power plant</v>
      </c>
      <c r="K29">
        <f>VLOOKUP(I29,'Emission Factors'!F34:G36,2,FALSE)</f>
        <v>0.18</v>
      </c>
    </row>
    <row r="30" spans="1:59" x14ac:dyDescent="0.35">
      <c r="D30" s="319"/>
    </row>
    <row r="31" spans="1:59" x14ac:dyDescent="0.35">
      <c r="D31" s="319"/>
    </row>
    <row r="32" spans="1:59" x14ac:dyDescent="0.35">
      <c r="D32" s="319"/>
    </row>
    <row r="33" spans="2:32" x14ac:dyDescent="0.35">
      <c r="B33" s="16" t="s">
        <v>46</v>
      </c>
      <c r="C33" s="16" t="s">
        <v>356</v>
      </c>
      <c r="D33" s="355"/>
      <c r="E33" s="15"/>
      <c r="F33" s="15" t="s">
        <v>378</v>
      </c>
      <c r="G33" s="15"/>
      <c r="H33" s="15"/>
      <c r="I33" s="15"/>
      <c r="J33" s="15"/>
      <c r="K33" s="15"/>
      <c r="L33" s="15"/>
      <c r="M33" s="15"/>
      <c r="N33" s="15"/>
      <c r="O33" s="15"/>
      <c r="P33" s="15"/>
      <c r="Q33" s="15"/>
      <c r="R33" s="24"/>
      <c r="S33" s="24"/>
      <c r="T33" s="24"/>
    </row>
    <row r="34" spans="2:32" x14ac:dyDescent="0.35">
      <c r="D34" s="319"/>
      <c r="N34" s="24"/>
      <c r="R34" s="24"/>
      <c r="S34" s="24"/>
      <c r="T34" s="24"/>
    </row>
    <row r="35" spans="2:32" x14ac:dyDescent="0.35">
      <c r="C35" s="40" t="s">
        <v>44</v>
      </c>
      <c r="D35" s="356" t="s">
        <v>55</v>
      </c>
      <c r="E35" s="39"/>
      <c r="F35" s="39" t="s">
        <v>379</v>
      </c>
      <c r="G35" s="39" t="s">
        <v>398</v>
      </c>
      <c r="H35" s="39"/>
      <c r="I35" s="39"/>
      <c r="J35" s="39"/>
      <c r="K35" s="39"/>
      <c r="L35" s="39"/>
      <c r="M35" s="39"/>
      <c r="N35" s="39"/>
      <c r="O35" s="39"/>
      <c r="P35" s="39"/>
      <c r="Q35" s="39"/>
      <c r="R35" s="24"/>
      <c r="S35" s="24"/>
      <c r="T35" s="24"/>
    </row>
    <row r="36" spans="2:32" x14ac:dyDescent="0.35">
      <c r="D36" s="319" t="s">
        <v>36</v>
      </c>
      <c r="G36" t="s">
        <v>41</v>
      </c>
      <c r="K36" t="s">
        <v>57</v>
      </c>
      <c r="AA36" s="24"/>
    </row>
    <row r="37" spans="2:32" x14ac:dyDescent="0.35">
      <c r="C37" t="s">
        <v>27</v>
      </c>
      <c r="D37" s="319" t="s">
        <v>34</v>
      </c>
      <c r="E37" t="s">
        <v>35</v>
      </c>
      <c r="G37" s="7" t="s">
        <v>34</v>
      </c>
      <c r="H37" t="s">
        <v>35</v>
      </c>
      <c r="J37" s="12"/>
      <c r="K37" s="7" t="s">
        <v>34</v>
      </c>
      <c r="L37" t="s">
        <v>35</v>
      </c>
      <c r="O37" s="37" t="s">
        <v>597</v>
      </c>
      <c r="Q37" s="37" t="s">
        <v>598</v>
      </c>
      <c r="AA37" s="24"/>
    </row>
    <row r="38" spans="2:32" x14ac:dyDescent="0.35">
      <c r="C38" s="18" t="s">
        <v>28</v>
      </c>
      <c r="D38" s="309">
        <v>3.38</v>
      </c>
      <c r="E38" s="22" t="s">
        <v>372</v>
      </c>
      <c r="G38" s="2">
        <f>D38</f>
        <v>3.38</v>
      </c>
      <c r="H38" s="22" t="s">
        <v>372</v>
      </c>
      <c r="J38" s="2"/>
      <c r="K38" s="343">
        <f>G38</f>
        <v>3.38</v>
      </c>
      <c r="L38" s="22" t="s">
        <v>372</v>
      </c>
      <c r="O38" s="2">
        <f>-K38</f>
        <v>-3.38</v>
      </c>
      <c r="Q38" s="38">
        <f>-O38/$O$38</f>
        <v>-1</v>
      </c>
      <c r="R38" s="2">
        <f>O38/'Energy &amp; Unit Conversions'!$E$14</f>
        <v>-7.8155710222674396E-2</v>
      </c>
      <c r="U38" s="2"/>
      <c r="AA38" s="24"/>
    </row>
    <row r="39" spans="2:32" x14ac:dyDescent="0.35">
      <c r="C39" s="20"/>
      <c r="D39" s="310"/>
      <c r="G39" s="2"/>
      <c r="K39" s="2"/>
      <c r="R39" s="2"/>
      <c r="U39" s="2"/>
      <c r="AA39" s="24"/>
    </row>
    <row r="40" spans="2:32" x14ac:dyDescent="0.35">
      <c r="C40" s="19" t="s">
        <v>29</v>
      </c>
      <c r="D40" s="8">
        <f>K48</f>
        <v>0.18</v>
      </c>
      <c r="E40" s="32" t="s">
        <v>78</v>
      </c>
      <c r="F40" s="7"/>
      <c r="G40" s="33">
        <f>D40</f>
        <v>0.18</v>
      </c>
      <c r="H40" s="32" t="s">
        <v>78</v>
      </c>
      <c r="I40" s="7"/>
      <c r="J40" s="2"/>
      <c r="K40" s="85">
        <f>G40</f>
        <v>0.18</v>
      </c>
      <c r="L40" s="32" t="s">
        <v>78</v>
      </c>
      <c r="M40" s="7"/>
      <c r="N40" s="7"/>
      <c r="O40" s="33">
        <f>K40*K38</f>
        <v>0.60839999999999994</v>
      </c>
      <c r="P40" s="7"/>
      <c r="Q40" s="94">
        <f>-O40/$O$38</f>
        <v>0.18</v>
      </c>
      <c r="R40" s="2">
        <f>O40/'Energy &amp; Unit Conversions'!$E$14</f>
        <v>1.4068027840081392E-2</v>
      </c>
      <c r="U40" s="2"/>
      <c r="AA40" s="24"/>
    </row>
    <row r="41" spans="2:32" x14ac:dyDescent="0.35">
      <c r="C41" s="20" t="s">
        <v>242</v>
      </c>
      <c r="D41" s="337">
        <v>0.63000000000000012</v>
      </c>
      <c r="E41" s="230" t="s">
        <v>374</v>
      </c>
      <c r="G41" s="2">
        <f>D41</f>
        <v>0.63000000000000012</v>
      </c>
      <c r="H41" s="230" t="s">
        <v>362</v>
      </c>
      <c r="J41" s="2" t="s">
        <v>45</v>
      </c>
      <c r="K41" s="120">
        <f>'Main Input &amp; Output'!D70</f>
        <v>0.63</v>
      </c>
      <c r="L41" s="23" t="s">
        <v>362</v>
      </c>
      <c r="O41" s="2">
        <f>K41*K46</f>
        <v>0.30869999999999997</v>
      </c>
      <c r="P41" s="2"/>
      <c r="Q41" s="2"/>
      <c r="R41" s="2"/>
      <c r="T41" t="s">
        <v>125</v>
      </c>
      <c r="V41" s="122" t="s">
        <v>598</v>
      </c>
      <c r="W41" s="122"/>
      <c r="X41" s="123"/>
      <c r="Y41" s="124" t="s">
        <v>597</v>
      </c>
      <c r="Z41" s="122"/>
      <c r="AA41" s="123"/>
      <c r="AD41" s="24"/>
      <c r="AE41" s="24"/>
      <c r="AF41" s="24"/>
    </row>
    <row r="42" spans="2:32" x14ac:dyDescent="0.35">
      <c r="C42" s="20" t="s">
        <v>244</v>
      </c>
      <c r="D42" s="354">
        <f>0.29</f>
        <v>0.28999999999999998</v>
      </c>
      <c r="E42" s="230" t="s">
        <v>375</v>
      </c>
      <c r="G42" s="59">
        <f>D42</f>
        <v>0.28999999999999998</v>
      </c>
      <c r="H42" s="230" t="s">
        <v>375</v>
      </c>
      <c r="J42" s="2"/>
      <c r="K42" s="130">
        <f>'Main Input &amp; Output'!D71</f>
        <v>0.28999999999999998</v>
      </c>
      <c r="L42" s="230" t="s">
        <v>362</v>
      </c>
      <c r="O42" s="2">
        <f>K42*K47</f>
        <v>7.2499999999999995E-2</v>
      </c>
      <c r="P42" s="2"/>
      <c r="Q42" s="2"/>
      <c r="R42" s="2"/>
      <c r="V42" s="109" t="s">
        <v>213</v>
      </c>
      <c r="W42" s="109" t="s">
        <v>214</v>
      </c>
      <c r="X42" s="112" t="s">
        <v>215</v>
      </c>
      <c r="Y42" s="69" t="s">
        <v>213</v>
      </c>
      <c r="Z42" s="109" t="s">
        <v>214</v>
      </c>
      <c r="AA42" s="112" t="s">
        <v>215</v>
      </c>
      <c r="AD42" s="24"/>
      <c r="AE42" s="24"/>
      <c r="AF42" s="24"/>
    </row>
    <row r="43" spans="2:32" x14ac:dyDescent="0.35">
      <c r="C43" s="20" t="s">
        <v>68</v>
      </c>
      <c r="D43" s="319"/>
      <c r="F43" s="17"/>
      <c r="G43" s="23"/>
      <c r="J43" s="2"/>
      <c r="K43" s="66"/>
      <c r="L43" s="20"/>
      <c r="O43" s="2">
        <f>SUM(O41:O42)</f>
        <v>0.38119999999999998</v>
      </c>
      <c r="Q43" s="232">
        <f>-O43/$O$38</f>
        <v>0.11278106508875739</v>
      </c>
      <c r="R43" s="2">
        <f>O43/'Energy &amp; Unit Conversions'!$E$14</f>
        <v>8.8144842416815038E-3</v>
      </c>
      <c r="U43" t="s">
        <v>434</v>
      </c>
      <c r="V43">
        <v>2.5105263157894737</v>
      </c>
      <c r="AD43" s="24"/>
      <c r="AE43" s="24"/>
      <c r="AF43" s="24"/>
    </row>
    <row r="44" spans="2:32" x14ac:dyDescent="0.35">
      <c r="C44" s="49" t="s">
        <v>62</v>
      </c>
      <c r="D44" s="328">
        <f>'Emission Factors'!S15</f>
        <v>2.94</v>
      </c>
      <c r="E44" s="35" t="s">
        <v>632</v>
      </c>
      <c r="F44" s="81"/>
      <c r="G44" s="77">
        <f>D44</f>
        <v>2.94</v>
      </c>
      <c r="H44" s="35" t="s">
        <v>632</v>
      </c>
      <c r="I44" s="35"/>
      <c r="J44" s="36"/>
      <c r="K44" s="50">
        <f>G44</f>
        <v>2.94</v>
      </c>
      <c r="L44" s="35" t="s">
        <v>632</v>
      </c>
      <c r="M44" s="35"/>
      <c r="N44" s="35"/>
      <c r="O44" s="36">
        <f>K44</f>
        <v>2.94</v>
      </c>
      <c r="P44" s="35"/>
      <c r="Q44" s="104">
        <f>-O44/$O$38</f>
        <v>0.86982248520710059</v>
      </c>
      <c r="R44" s="2">
        <f>O44/'Energy &amp; Unit Conversions'!$E$14</f>
        <v>6.7981594099012652E-2</v>
      </c>
      <c r="U44" t="s">
        <v>438</v>
      </c>
      <c r="V44">
        <v>7.8947368421052599E-2</v>
      </c>
      <c r="AD44" s="24"/>
      <c r="AE44" s="130"/>
      <c r="AF44" s="24"/>
    </row>
    <row r="45" spans="2:32" x14ac:dyDescent="0.35">
      <c r="C45" s="34" t="s">
        <v>33</v>
      </c>
      <c r="D45" s="35"/>
      <c r="E45" s="35"/>
      <c r="F45" s="35"/>
      <c r="G45" s="35"/>
      <c r="H45" s="35"/>
      <c r="I45" s="35"/>
      <c r="J45" s="35"/>
      <c r="K45" s="35"/>
      <c r="L45" s="35"/>
      <c r="M45" s="35"/>
      <c r="N45" s="35"/>
      <c r="O45" s="36">
        <f>O44+O43+O40+O38</f>
        <v>0.54960000000000031</v>
      </c>
      <c r="P45" s="35"/>
      <c r="Q45" s="103">
        <f>Q43+Q40+Q38+Q44</f>
        <v>0.16260355029585805</v>
      </c>
      <c r="R45" s="2">
        <f>O45/'Energy &amp; Unit Conversions'!$E$14</f>
        <v>1.2708395958101148E-2</v>
      </c>
      <c r="U45" t="s">
        <v>439</v>
      </c>
      <c r="V45">
        <v>0.49473684210526298</v>
      </c>
    </row>
    <row r="46" spans="2:32" x14ac:dyDescent="0.35">
      <c r="C46" s="28" t="s">
        <v>81</v>
      </c>
      <c r="D46" s="12"/>
      <c r="E46" s="12"/>
      <c r="F46" s="12"/>
      <c r="G46" s="58"/>
      <c r="H46" s="12"/>
      <c r="I46" s="47">
        <f>L11</f>
        <v>2</v>
      </c>
      <c r="J46" s="58" t="str">
        <f>VLOOKUP(I46,'Emission Factors'!B6:C8,2,FALSE)</f>
        <v>Natural gas</v>
      </c>
      <c r="K46">
        <f>VLOOKUP(I46,'Emission Factors'!F6:G8,2,FALSE)</f>
        <v>0.49</v>
      </c>
      <c r="L46" s="12"/>
      <c r="M46" s="24"/>
      <c r="R46" s="24"/>
      <c r="S46" s="12"/>
    </row>
    <row r="47" spans="2:32" x14ac:dyDescent="0.35">
      <c r="C47" s="28" t="s">
        <v>9</v>
      </c>
      <c r="I47" s="43">
        <f>O11</f>
        <v>2</v>
      </c>
      <c r="J47" t="str">
        <f>VLOOKUP(I47,'Emission Factors'!B20:C22,2,FALSE)</f>
        <v>Natural gas industrial furnace</v>
      </c>
      <c r="K47">
        <f>VLOOKUP(I47,'Emission Factors'!F20:G22,2,FALSE)</f>
        <v>0.25</v>
      </c>
    </row>
    <row r="48" spans="2:32" x14ac:dyDescent="0.35">
      <c r="C48" s="28" t="s">
        <v>15</v>
      </c>
      <c r="I48" s="43">
        <f>Y11</f>
        <v>2</v>
      </c>
      <c r="J48" s="24" t="str">
        <f>VLOOKUP(I48,'Emission Factors'!B34:C36,2,FALSE)</f>
        <v>Natural gas power plant</v>
      </c>
      <c r="K48">
        <f>VLOOKUP(I48,'Emission Factors'!F34:G36,2,FALSE)</f>
        <v>0.18</v>
      </c>
    </row>
  </sheetData>
  <sheetProtection sheet="1" objects="1" scenarios="1"/>
  <mergeCells count="2">
    <mergeCell ref="A2:G3"/>
    <mergeCell ref="I2:I7"/>
  </mergeCells>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69C67-A765-4789-A7CA-9F5B9EA272BB}">
  <sheetPr codeName="Sheet3">
    <tabColor theme="4"/>
  </sheetPr>
  <dimension ref="A2:BG65"/>
  <sheetViews>
    <sheetView zoomScaleNormal="100" workbookViewId="0">
      <selection activeCell="A2" sqref="A2:G3"/>
    </sheetView>
  </sheetViews>
  <sheetFormatPr defaultColWidth="8.81640625" defaultRowHeight="14.5" x14ac:dyDescent="0.35"/>
  <cols>
    <col min="3" max="3" width="21.1796875" customWidth="1"/>
    <col min="4" max="4" width="9.6328125" customWidth="1"/>
    <col min="5" max="5" width="8.453125" customWidth="1"/>
    <col min="6" max="6" width="8.6328125" customWidth="1"/>
    <col min="8" max="8" width="17.6328125" customWidth="1"/>
    <col min="14" max="14" width="10" bestFit="1" customWidth="1"/>
    <col min="20" max="20" width="8.6328125" customWidth="1"/>
    <col min="28" max="29" width="8.6328125" customWidth="1"/>
    <col min="30" max="30" width="10.6328125" customWidth="1"/>
    <col min="31" max="31" width="11.36328125" customWidth="1"/>
    <col min="32" max="33" width="8.6328125" customWidth="1"/>
    <col min="34" max="34" width="18.1796875" bestFit="1" customWidth="1"/>
    <col min="35" max="35" width="15" customWidth="1"/>
    <col min="36" max="36" width="10.36328125" bestFit="1" customWidth="1"/>
    <col min="37" max="37" width="15.36328125" customWidth="1"/>
    <col min="38" max="38" width="21.36328125" customWidth="1"/>
    <col min="39" max="39" width="15.453125" customWidth="1"/>
    <col min="40" max="40" width="17.1796875" customWidth="1"/>
    <col min="41" max="41" width="10.36328125" customWidth="1"/>
    <col min="42" max="42" width="8.6328125" customWidth="1"/>
    <col min="47" max="47" width="13.36328125" customWidth="1"/>
    <col min="48" max="48" width="17.1796875" customWidth="1"/>
    <col min="49" max="49" width="12.36328125" customWidth="1"/>
  </cols>
  <sheetData>
    <row r="2" spans="1:59" ht="14.5" customHeight="1" x14ac:dyDescent="0.45">
      <c r="A2" s="488" t="s">
        <v>564</v>
      </c>
      <c r="B2" s="488"/>
      <c r="C2" s="488"/>
      <c r="D2" s="488"/>
      <c r="E2" s="488"/>
      <c r="F2" s="488"/>
      <c r="G2" s="488"/>
      <c r="H2" s="157"/>
      <c r="I2" s="489" t="s">
        <v>517</v>
      </c>
      <c r="J2" s="302" t="s">
        <v>519</v>
      </c>
      <c r="K2" s="302"/>
      <c r="L2" s="302"/>
      <c r="M2" s="4" t="s">
        <v>522</v>
      </c>
      <c r="N2" s="4"/>
      <c r="O2" s="4"/>
      <c r="P2" s="4"/>
      <c r="Q2" s="4"/>
      <c r="R2" s="4"/>
      <c r="S2" s="4"/>
      <c r="T2" s="4"/>
      <c r="U2" s="4"/>
      <c r="V2" s="4"/>
      <c r="W2" s="5"/>
      <c r="Y2" s="43"/>
      <c r="Z2" t="s">
        <v>528</v>
      </c>
    </row>
    <row r="3" spans="1:59" ht="14.5" customHeight="1" x14ac:dyDescent="0.45">
      <c r="A3" s="488"/>
      <c r="B3" s="488"/>
      <c r="C3" s="488"/>
      <c r="D3" s="488"/>
      <c r="E3" s="488"/>
      <c r="F3" s="488"/>
      <c r="G3" s="488"/>
      <c r="H3" s="157"/>
      <c r="I3" s="490"/>
      <c r="J3" s="296" t="s">
        <v>520</v>
      </c>
      <c r="K3" s="296"/>
      <c r="L3" s="296"/>
      <c r="M3" s="12" t="s">
        <v>523</v>
      </c>
      <c r="N3" s="12"/>
      <c r="O3" s="12"/>
      <c r="P3" s="12"/>
      <c r="Q3" s="12"/>
      <c r="R3" s="12"/>
      <c r="S3" s="12"/>
      <c r="T3" s="12"/>
      <c r="U3" s="12"/>
      <c r="V3" s="12"/>
      <c r="W3" s="25"/>
    </row>
    <row r="4" spans="1:59" ht="15.5" x14ac:dyDescent="0.35">
      <c r="B4" s="27"/>
      <c r="C4" s="93"/>
      <c r="D4" s="93"/>
      <c r="E4" s="93"/>
      <c r="F4" s="93"/>
      <c r="G4" s="93"/>
      <c r="H4" s="93"/>
      <c r="I4" s="490"/>
      <c r="J4" s="303" t="s">
        <v>143</v>
      </c>
      <c r="K4" s="304"/>
      <c r="L4" s="304"/>
      <c r="M4" s="12" t="s">
        <v>518</v>
      </c>
      <c r="N4" s="12"/>
      <c r="O4" s="12"/>
      <c r="P4" s="12"/>
      <c r="Q4" s="12"/>
      <c r="R4" s="12"/>
      <c r="S4" s="12"/>
      <c r="T4" s="12"/>
      <c r="U4" s="12"/>
      <c r="V4" s="12"/>
      <c r="W4" s="25"/>
    </row>
    <row r="5" spans="1:59" ht="16.5" x14ac:dyDescent="0.45">
      <c r="C5" t="s">
        <v>47</v>
      </c>
      <c r="F5" t="s">
        <v>48</v>
      </c>
      <c r="H5" s="29"/>
      <c r="I5" s="490"/>
      <c r="J5" s="305" t="s">
        <v>521</v>
      </c>
      <c r="K5" s="305"/>
      <c r="L5" s="305"/>
      <c r="M5" s="12" t="s">
        <v>524</v>
      </c>
      <c r="N5" s="12"/>
      <c r="O5" s="12"/>
      <c r="P5" s="12"/>
      <c r="Q5" s="12"/>
      <c r="R5" s="12"/>
      <c r="S5" s="12"/>
      <c r="T5" s="12"/>
      <c r="U5" s="12"/>
      <c r="V5" s="12"/>
      <c r="W5" s="25"/>
    </row>
    <row r="6" spans="1:59" x14ac:dyDescent="0.35">
      <c r="C6" t="s">
        <v>90</v>
      </c>
      <c r="D6" s="58"/>
      <c r="F6" s="58" t="s">
        <v>91</v>
      </c>
      <c r="I6" s="490"/>
      <c r="J6" s="306" t="s">
        <v>62</v>
      </c>
      <c r="K6" s="307"/>
      <c r="L6" s="307"/>
      <c r="M6" s="12" t="s">
        <v>525</v>
      </c>
      <c r="N6" s="12"/>
      <c r="O6" s="12"/>
      <c r="P6" s="12"/>
      <c r="Q6" s="12"/>
      <c r="R6" s="12"/>
      <c r="S6" s="12"/>
      <c r="T6" s="12"/>
      <c r="U6" s="12"/>
      <c r="V6" s="12"/>
      <c r="W6" s="25"/>
    </row>
    <row r="7" spans="1:59" x14ac:dyDescent="0.35">
      <c r="C7" t="s">
        <v>88</v>
      </c>
      <c r="D7" s="58"/>
      <c r="F7" s="58" t="s">
        <v>89</v>
      </c>
      <c r="I7" s="491"/>
      <c r="J7" s="308" t="s">
        <v>33</v>
      </c>
      <c r="K7" s="308"/>
      <c r="L7" s="308"/>
      <c r="M7" s="7" t="s">
        <v>526</v>
      </c>
      <c r="N7" s="7"/>
      <c r="O7" s="7"/>
      <c r="P7" s="7"/>
      <c r="Q7" s="7"/>
      <c r="R7" s="7"/>
      <c r="S7" s="7"/>
      <c r="T7" s="7"/>
      <c r="U7" s="7"/>
      <c r="V7" s="7"/>
      <c r="W7" s="26"/>
    </row>
    <row r="8" spans="1:59" ht="15.5" x14ac:dyDescent="0.35">
      <c r="C8" t="s">
        <v>280</v>
      </c>
      <c r="D8" s="58"/>
      <c r="F8" s="58" t="s">
        <v>281</v>
      </c>
      <c r="H8" s="27"/>
      <c r="I8" s="30"/>
    </row>
    <row r="9" spans="1:59" ht="15.5" x14ac:dyDescent="0.35">
      <c r="D9" s="58"/>
      <c r="F9" s="58"/>
      <c r="H9" s="29"/>
      <c r="I9" s="30"/>
    </row>
    <row r="10" spans="1:59" ht="15.5" x14ac:dyDescent="0.35">
      <c r="D10" s="111"/>
      <c r="G10" s="93"/>
      <c r="L10" t="s">
        <v>64</v>
      </c>
      <c r="O10" t="s">
        <v>65</v>
      </c>
      <c r="S10" t="s">
        <v>66</v>
      </c>
      <c r="V10" t="s">
        <v>67</v>
      </c>
      <c r="Y10" t="s">
        <v>15</v>
      </c>
      <c r="AK10" s="3" t="s">
        <v>186</v>
      </c>
      <c r="AL10" s="4"/>
      <c r="AM10" s="4"/>
      <c r="AN10" s="4"/>
      <c r="AO10" s="4"/>
      <c r="AP10" s="4"/>
      <c r="AQ10" s="4"/>
      <c r="AR10" s="4"/>
      <c r="AS10" s="4"/>
      <c r="AT10" s="5"/>
      <c r="AU10" s="3" t="s">
        <v>186</v>
      </c>
      <c r="AV10" s="4"/>
      <c r="AW10" s="4"/>
      <c r="AX10" s="4"/>
      <c r="AY10" s="4"/>
      <c r="AZ10" s="4"/>
      <c r="BA10" s="4"/>
      <c r="BB10" s="4"/>
      <c r="BC10" s="4"/>
      <c r="BD10" s="5"/>
      <c r="BE10" s="371" t="s">
        <v>186</v>
      </c>
      <c r="BF10" s="371" t="s">
        <v>186</v>
      </c>
    </row>
    <row r="11" spans="1:59" x14ac:dyDescent="0.35">
      <c r="B11" s="35" t="s">
        <v>63</v>
      </c>
      <c r="C11" s="63"/>
      <c r="D11" s="35"/>
      <c r="E11" s="35"/>
      <c r="F11" s="63"/>
      <c r="G11" s="35"/>
      <c r="H11" s="63"/>
      <c r="I11" s="63"/>
      <c r="J11" s="35"/>
      <c r="K11" s="35"/>
      <c r="L11" s="44">
        <f>'Emission Factors'!G9</f>
        <v>2</v>
      </c>
      <c r="M11" s="44" t="str">
        <f>'Emission Factors'!C10</f>
        <v>Natural gas</v>
      </c>
      <c r="N11" s="44">
        <f>'Emission Factors'!G10</f>
        <v>0.49</v>
      </c>
      <c r="O11" s="44">
        <f>'Emission Factors'!G23</f>
        <v>2</v>
      </c>
      <c r="P11" s="44" t="str">
        <f>'Emission Factors'!C24</f>
        <v>Natural gas industrial furnace</v>
      </c>
      <c r="Q11" s="44">
        <f>'Emission Factors'!G24</f>
        <v>0.25</v>
      </c>
      <c r="R11" s="35"/>
      <c r="S11" s="44"/>
      <c r="T11" s="44"/>
      <c r="U11" s="35"/>
      <c r="V11" s="44"/>
      <c r="W11" s="44"/>
      <c r="X11" s="35"/>
      <c r="Y11" s="44">
        <f>'Emission Factors'!G37</f>
        <v>2</v>
      </c>
      <c r="Z11" s="44" t="str">
        <f>'Emission Factors'!C38</f>
        <v>Natural gas power plant</v>
      </c>
      <c r="AA11" s="44">
        <f>'Emission Factors'!G38</f>
        <v>0.18</v>
      </c>
      <c r="AH11" t="s">
        <v>82</v>
      </c>
      <c r="AK11" s="194" t="s">
        <v>598</v>
      </c>
      <c r="AL11" s="12"/>
      <c r="AM11" s="12"/>
      <c r="AN11" s="12"/>
      <c r="AO11" s="12"/>
      <c r="AP11" s="12"/>
      <c r="AQ11" s="12"/>
      <c r="AR11" s="12"/>
      <c r="AS11" s="12"/>
      <c r="AT11" s="25"/>
      <c r="AU11" s="194" t="s">
        <v>597</v>
      </c>
      <c r="AV11" s="12"/>
      <c r="AW11" s="12"/>
      <c r="AX11" s="12"/>
      <c r="AY11" s="12"/>
      <c r="AZ11" s="12"/>
      <c r="BA11" s="12"/>
      <c r="BB11" s="12"/>
      <c r="BC11" s="12"/>
      <c r="BD11" s="25"/>
      <c r="BE11" s="372" t="s">
        <v>531</v>
      </c>
      <c r="BF11" s="372" t="s">
        <v>185</v>
      </c>
    </row>
    <row r="12" spans="1:59" x14ac:dyDescent="0.35">
      <c r="AE12" s="24"/>
      <c r="AF12" s="24"/>
      <c r="AG12" s="24"/>
      <c r="AH12" s="24" t="s">
        <v>83</v>
      </c>
      <c r="AI12" s="24" t="s">
        <v>84</v>
      </c>
      <c r="AJ12" s="24" t="s">
        <v>85</v>
      </c>
      <c r="AK12" s="118" t="s">
        <v>61</v>
      </c>
      <c r="AL12" s="58" t="s">
        <v>15</v>
      </c>
      <c r="AM12" s="58" t="s">
        <v>143</v>
      </c>
      <c r="AN12" s="58" t="s">
        <v>60</v>
      </c>
      <c r="AO12" s="58" t="s">
        <v>62</v>
      </c>
      <c r="AP12" s="58" t="s">
        <v>33</v>
      </c>
      <c r="AQ12" s="58" t="s">
        <v>136</v>
      </c>
      <c r="AR12" s="58" t="s">
        <v>137</v>
      </c>
      <c r="AS12" s="58" t="s">
        <v>138</v>
      </c>
      <c r="AT12" s="117" t="s">
        <v>139</v>
      </c>
      <c r="AU12" s="118" t="s">
        <v>61</v>
      </c>
      <c r="AV12" s="58" t="s">
        <v>15</v>
      </c>
      <c r="AW12" s="58" t="s">
        <v>143</v>
      </c>
      <c r="AX12" s="58" t="s">
        <v>60</v>
      </c>
      <c r="AY12" s="58" t="s">
        <v>62</v>
      </c>
      <c r="AZ12" s="58" t="s">
        <v>33</v>
      </c>
      <c r="BA12" s="58" t="s">
        <v>136</v>
      </c>
      <c r="BB12" s="58" t="s">
        <v>137</v>
      </c>
      <c r="BC12" s="58" t="s">
        <v>138</v>
      </c>
      <c r="BD12" s="117" t="s">
        <v>139</v>
      </c>
      <c r="BE12" s="398" t="s">
        <v>597</v>
      </c>
      <c r="BF12" s="398" t="s">
        <v>617</v>
      </c>
      <c r="BG12" s="24"/>
    </row>
    <row r="13" spans="1:59" ht="16.5" x14ac:dyDescent="0.45">
      <c r="B13" s="16" t="s">
        <v>46</v>
      </c>
      <c r="C13" s="16" t="s">
        <v>90</v>
      </c>
      <c r="D13" s="16"/>
      <c r="E13" s="15"/>
      <c r="F13" s="15"/>
      <c r="G13" s="15"/>
      <c r="H13" s="15"/>
      <c r="I13" s="15"/>
      <c r="J13" s="15"/>
      <c r="K13" s="15"/>
      <c r="L13" s="15"/>
      <c r="M13" s="15"/>
      <c r="N13" s="15"/>
      <c r="O13" s="15"/>
      <c r="P13" s="15"/>
      <c r="Q13" s="15"/>
      <c r="R13" s="24"/>
      <c r="S13" s="24"/>
      <c r="T13" s="24"/>
      <c r="AE13" s="24"/>
      <c r="AF13" s="24"/>
      <c r="AG13" s="24"/>
      <c r="AH13" s="24" t="s">
        <v>484</v>
      </c>
      <c r="AI13" s="24" t="s">
        <v>88</v>
      </c>
      <c r="AJ13" s="24" t="s">
        <v>89</v>
      </c>
      <c r="AK13" s="119">
        <f>Q39</f>
        <v>-1</v>
      </c>
      <c r="AL13" s="66">
        <f>Q41</f>
        <v>0.18</v>
      </c>
      <c r="AM13" s="58">
        <v>0</v>
      </c>
      <c r="AN13" s="66">
        <f>Q42</f>
        <v>0.14243291059706667</v>
      </c>
      <c r="AO13" s="66">
        <f>Q44</f>
        <v>2.1856377952755904E-3</v>
      </c>
      <c r="AP13" s="66">
        <f>Q45</f>
        <v>-0.67538145160765772</v>
      </c>
      <c r="AQ13" s="66">
        <f>IF(I46=2,U44,IF(I46=1,V44,IF(I46=3,W44,"")))</f>
        <v>-0.57799999999999996</v>
      </c>
      <c r="AR13" s="66">
        <f>IF(I46=2,U45,IF(I46=1,V45,IF(I46=3,W45,"")))</f>
        <v>-0.68400000000000005</v>
      </c>
      <c r="AS13" s="66">
        <f>IF(I46=2,U46,IF(I46=1,V46,IF(I46=3,W46,"")))</f>
        <v>-0.70799999999999996</v>
      </c>
      <c r="AT13" s="129">
        <f>IF(I46=2,U47,IF(I46=1,V47,IF(I46=3,W47,"")))</f>
        <v>-0.625</v>
      </c>
      <c r="AU13" s="119">
        <f>O39</f>
        <v>-0.20222929936305734</v>
      </c>
      <c r="AV13" s="66">
        <f>O41</f>
        <v>3.6401273885350319E-2</v>
      </c>
      <c r="AW13" s="66">
        <v>0</v>
      </c>
      <c r="AX13" s="66">
        <f>O43</f>
        <v>0</v>
      </c>
      <c r="AY13" s="66">
        <f>O44</f>
        <v>4.4200000000000001E-4</v>
      </c>
      <c r="AZ13" s="66">
        <f>O45</f>
        <v>-0.13658191776142126</v>
      </c>
      <c r="BA13" s="66">
        <f>IF(I46=2,X44,IF(I46=1,Y44,IF(I46=3,Z44,0)))</f>
        <v>-7.2400000000000006E-2</v>
      </c>
      <c r="BB13" s="66">
        <f>IF(I46=2,X45,IF(I46=1,Y45,IF(I46=3,Z45,0)))</f>
        <v>-0.13100000000000001</v>
      </c>
      <c r="BC13" s="66">
        <f>IF(I46=2,X46,IF(I46=1,Y46,IF(I46=3,Z46,0)))</f>
        <v>-0.17</v>
      </c>
      <c r="BD13" s="129">
        <f>IF(I46=2,X47,IF(I46=1,Y47,IF(I46=3,Z47,0)))</f>
        <v>-8.3400000000000002E-2</v>
      </c>
      <c r="BE13" s="388">
        <f>'Emission Factors'!$S$33-Mineralization!O45</f>
        <v>0.95658191776142121</v>
      </c>
      <c r="BF13" s="390">
        <f>BE13*Constants!$C$7*0.5</f>
        <v>2.1044802190751266</v>
      </c>
      <c r="BG13" s="24"/>
    </row>
    <row r="14" spans="1:59" x14ac:dyDescent="0.35">
      <c r="N14" s="24"/>
      <c r="R14" s="24"/>
      <c r="S14" s="24"/>
      <c r="T14" s="24"/>
      <c r="AE14" s="24"/>
      <c r="AF14" s="24"/>
      <c r="AG14" s="24"/>
      <c r="AH14" s="24" t="s">
        <v>87</v>
      </c>
      <c r="AI14" s="24" t="s">
        <v>90</v>
      </c>
      <c r="AJ14" s="24" t="s">
        <v>91</v>
      </c>
      <c r="AK14" s="119">
        <f>Q18</f>
        <v>-1</v>
      </c>
      <c r="AL14" s="66">
        <f>Q20</f>
        <v>0.18</v>
      </c>
      <c r="AM14" s="58">
        <v>0</v>
      </c>
      <c r="AN14" s="66">
        <f>Q25</f>
        <v>0.24915535420008025</v>
      </c>
      <c r="AO14" s="66">
        <f>Q26</f>
        <v>6.5965309382257336E-4</v>
      </c>
      <c r="AP14" s="66">
        <f>Q27</f>
        <v>-0.57018499270609724</v>
      </c>
      <c r="AQ14" s="58">
        <f>IF(I28=2,U23,IF(I28=1,V23,IF(IJ28=3,W23,"")))</f>
        <v>-0.58799999999999997</v>
      </c>
      <c r="AR14" s="58"/>
      <c r="AS14" s="58"/>
      <c r="AT14" s="117"/>
      <c r="AU14" s="119">
        <f>O18</f>
        <v>-0.65185777801514699</v>
      </c>
      <c r="AV14" s="66">
        <f>O20</f>
        <v>0.11733440004272645</v>
      </c>
      <c r="AW14" s="58">
        <v>0</v>
      </c>
      <c r="AX14" s="66">
        <f>O25</f>
        <v>0.16241385556944124</v>
      </c>
      <c r="AY14" s="66">
        <f>O26</f>
        <v>4.2999999999999999E-4</v>
      </c>
      <c r="AZ14" s="66">
        <f>O27</f>
        <v>-0.3716795224029793</v>
      </c>
      <c r="BA14" s="58">
        <f>IF(I28=2,X23,IF(I28=1,Y23,IF(I28=3,Z23,0)))</f>
        <v>-0.41299999999999998</v>
      </c>
      <c r="BB14" s="58"/>
      <c r="BC14" s="58"/>
      <c r="BD14" s="117"/>
      <c r="BE14" s="388">
        <f>'Emission Factors'!$S$33-Mineralization!O27</f>
        <v>1.1916795224029793</v>
      </c>
      <c r="BF14" s="390">
        <f>BE14*Constants!$C$7*0.5</f>
        <v>2.6216949492865544</v>
      </c>
      <c r="BG14" s="24"/>
    </row>
    <row r="15" spans="1:59" x14ac:dyDescent="0.35">
      <c r="C15" s="40" t="s">
        <v>44</v>
      </c>
      <c r="D15" s="40" t="s">
        <v>91</v>
      </c>
      <c r="E15" s="39"/>
      <c r="F15" s="39" t="s">
        <v>379</v>
      </c>
      <c r="G15" s="39" t="s">
        <v>392</v>
      </c>
      <c r="H15" s="39"/>
      <c r="I15" s="39"/>
      <c r="J15" s="39"/>
      <c r="K15" s="39"/>
      <c r="L15" s="39"/>
      <c r="M15" s="39"/>
      <c r="N15" s="39"/>
      <c r="O15" s="39"/>
      <c r="P15" s="39"/>
      <c r="Q15" s="39"/>
      <c r="R15" s="24"/>
      <c r="S15" s="24"/>
      <c r="T15" s="24"/>
      <c r="AE15" s="24"/>
      <c r="AF15" s="24"/>
      <c r="AG15" s="24"/>
      <c r="AH15" s="24" t="s">
        <v>87</v>
      </c>
      <c r="AI15" s="24" t="s">
        <v>280</v>
      </c>
      <c r="AJ15" s="24" t="s">
        <v>281</v>
      </c>
      <c r="AK15" s="369">
        <f>Q55</f>
        <v>-1</v>
      </c>
      <c r="AL15" s="85">
        <f>Q57</f>
        <v>0.18</v>
      </c>
      <c r="AM15" s="89">
        <v>0</v>
      </c>
      <c r="AN15" s="85">
        <f>Q58</f>
        <v>0.46775464761873248</v>
      </c>
      <c r="AO15" s="392">
        <f>Q60</f>
        <v>8.4377962529790104E-4</v>
      </c>
      <c r="AP15" s="85">
        <f>Q61</f>
        <v>-0.35140157275596967</v>
      </c>
      <c r="AQ15" s="89">
        <f>IF(I62=2,U60,IF(I62=1,V60,IF(I62=3,W60,"")))</f>
        <v>-0.47699999999999998</v>
      </c>
      <c r="AR15" s="89">
        <f>IF(I62=2,U61,IF(I62=1,V61,IF(I62=3,W61,"")))</f>
        <v>-0.46600000000000003</v>
      </c>
      <c r="AS15" s="89">
        <f>IF(I62=2,U62,IF(I62=1,V62,IF(I62=3,W62,"")))</f>
        <v>-0.21299999999999999</v>
      </c>
      <c r="AT15" s="385"/>
      <c r="AU15" s="369">
        <f>O55</f>
        <v>-0.52146317214599203</v>
      </c>
      <c r="AV15" s="85">
        <f>O57</f>
        <v>9.386337098627856E-2</v>
      </c>
      <c r="AW15" s="89">
        <v>0</v>
      </c>
      <c r="AX15" s="85">
        <f>O58</f>
        <v>0.24391682233329492</v>
      </c>
      <c r="AY15" s="85">
        <f>O60</f>
        <v>4.4000000000000002E-4</v>
      </c>
      <c r="AZ15" s="85">
        <f>O61</f>
        <v>-0.18324297882641855</v>
      </c>
      <c r="BA15" s="89">
        <f>IF(I62=2,X60,IF(I62=1,Y60,IF(I62=3,Z60,0)))</f>
        <v>-0.26</v>
      </c>
      <c r="BB15" s="89">
        <f>IF(I62=2,X61,IF(I62=1,Y61,IF(I62=3,Z61,0)))</f>
        <v>-0.255</v>
      </c>
      <c r="BC15" s="89">
        <f>IF(I62=2,X62,IF(I62=1,Y62,IF(I62=3,Z62,0)))</f>
        <v>-7.5999999999999998E-2</v>
      </c>
      <c r="BD15" s="385"/>
      <c r="BE15" s="389">
        <f>'Emission Factors'!$S$33-Mineralization!O61</f>
        <v>1.0032429788264186</v>
      </c>
      <c r="BF15" s="391">
        <f>BE15*Constants!$C$7*0.5</f>
        <v>2.207134553418121</v>
      </c>
      <c r="BG15" s="24"/>
    </row>
    <row r="16" spans="1:59" x14ac:dyDescent="0.35">
      <c r="D16" t="s">
        <v>36</v>
      </c>
      <c r="G16" t="s">
        <v>41</v>
      </c>
      <c r="K16" t="s">
        <v>57</v>
      </c>
      <c r="AA16" s="24"/>
      <c r="AB16" s="24"/>
      <c r="AC16" s="24"/>
      <c r="AD16" s="24"/>
      <c r="AE16" s="24"/>
      <c r="AF16" s="24"/>
      <c r="AG16" s="24"/>
      <c r="AH16" s="24"/>
      <c r="AI16" s="24"/>
      <c r="AJ16" s="24"/>
      <c r="AK16" s="24"/>
      <c r="AL16" s="24"/>
      <c r="AM16" s="24"/>
      <c r="AN16" s="24"/>
      <c r="AO16" s="24"/>
      <c r="AP16" s="24"/>
      <c r="AQ16" s="24"/>
      <c r="AR16" s="24"/>
      <c r="AS16" s="24"/>
      <c r="AT16" s="58"/>
      <c r="AU16" s="58"/>
      <c r="AV16" s="24"/>
      <c r="AW16" s="24"/>
      <c r="AX16" s="24"/>
      <c r="AY16" s="24"/>
      <c r="AZ16" s="24"/>
      <c r="BA16" s="24"/>
      <c r="BB16" s="24"/>
      <c r="BC16" s="24"/>
      <c r="BD16" s="58"/>
      <c r="BE16" s="58"/>
      <c r="BF16" s="24"/>
      <c r="BG16" s="24"/>
    </row>
    <row r="17" spans="1:59" x14ac:dyDescent="0.35">
      <c r="A17" t="s">
        <v>58</v>
      </c>
      <c r="C17" s="7" t="s">
        <v>27</v>
      </c>
      <c r="D17" s="7" t="s">
        <v>34</v>
      </c>
      <c r="E17" s="7" t="s">
        <v>35</v>
      </c>
      <c r="F17" s="7"/>
      <c r="G17" s="7" t="s">
        <v>34</v>
      </c>
      <c r="H17" s="7" t="s">
        <v>35</v>
      </c>
      <c r="I17" s="7"/>
      <c r="J17" s="7"/>
      <c r="K17" s="7" t="s">
        <v>34</v>
      </c>
      <c r="L17" s="7" t="s">
        <v>35</v>
      </c>
      <c r="M17" s="7"/>
      <c r="N17" s="7"/>
      <c r="O17" s="64" t="s">
        <v>597</v>
      </c>
      <c r="P17" s="7"/>
      <c r="Q17" s="64" t="s">
        <v>598</v>
      </c>
      <c r="AA17" s="24"/>
      <c r="AB17" s="24"/>
      <c r="AC17" s="24"/>
      <c r="AD17" s="24"/>
      <c r="AE17" s="24"/>
      <c r="AF17" s="24"/>
      <c r="AG17" s="24"/>
      <c r="AH17" s="24"/>
      <c r="AI17" s="24"/>
      <c r="AJ17" s="24"/>
      <c r="AK17" s="24"/>
      <c r="AL17" s="24"/>
      <c r="AM17" s="24"/>
      <c r="AN17" s="24"/>
      <c r="AO17" s="24"/>
      <c r="AP17" s="24"/>
      <c r="AQ17" s="24"/>
      <c r="AR17" s="24"/>
      <c r="AS17" s="24"/>
      <c r="AT17" s="58"/>
      <c r="AU17" s="58"/>
      <c r="AV17" s="24"/>
      <c r="AW17" s="24"/>
      <c r="AX17" s="24"/>
      <c r="AY17" s="24"/>
      <c r="AZ17" s="24"/>
      <c r="BA17" s="24"/>
      <c r="BB17" s="24"/>
      <c r="BC17" s="24"/>
      <c r="BD17" s="58"/>
      <c r="BE17" s="58"/>
      <c r="BF17" s="24"/>
      <c r="BG17" s="24"/>
    </row>
    <row r="18" spans="1:59" x14ac:dyDescent="0.35">
      <c r="A18" t="s">
        <v>61</v>
      </c>
      <c r="C18" s="20" t="s">
        <v>28</v>
      </c>
      <c r="D18" s="318">
        <v>0.65185777801514699</v>
      </c>
      <c r="E18" s="23" t="s">
        <v>240</v>
      </c>
      <c r="G18" s="2">
        <f>D18</f>
        <v>0.65185777801514699</v>
      </c>
      <c r="H18" s="23" t="s">
        <v>240</v>
      </c>
      <c r="J18" s="2"/>
      <c r="K18" s="343">
        <f>G18</f>
        <v>0.65185777801514699</v>
      </c>
      <c r="L18" s="23" t="s">
        <v>240</v>
      </c>
      <c r="O18" s="2">
        <f>-K18</f>
        <v>-0.65185777801514699</v>
      </c>
      <c r="Q18" s="38">
        <f>-O18/$O$18</f>
        <v>-1</v>
      </c>
      <c r="U18" s="2"/>
      <c r="AA18" s="24"/>
      <c r="AB18" s="24"/>
      <c r="AC18" s="24"/>
      <c r="AD18" s="24"/>
      <c r="AE18" s="24"/>
      <c r="AF18" s="24"/>
      <c r="AG18" s="24"/>
      <c r="AH18" s="24"/>
      <c r="AI18" s="24"/>
      <c r="AJ18" s="24"/>
      <c r="AK18" s="24"/>
      <c r="AL18" s="24"/>
      <c r="AM18" s="24"/>
      <c r="AN18" s="24"/>
      <c r="AO18" s="24"/>
      <c r="AP18" s="24"/>
      <c r="AQ18" s="24"/>
      <c r="AR18" s="24"/>
      <c r="AS18" s="24"/>
      <c r="AT18" s="58"/>
      <c r="AU18" s="58"/>
      <c r="AV18" s="24"/>
      <c r="AW18" s="24"/>
      <c r="AX18" s="24"/>
      <c r="AY18" s="24"/>
      <c r="AZ18" s="24"/>
      <c r="BA18" s="24"/>
      <c r="BB18" s="24"/>
      <c r="BC18" s="24"/>
      <c r="BD18" s="24"/>
      <c r="BE18" s="24"/>
      <c r="BF18" s="24"/>
      <c r="BG18" s="24"/>
    </row>
    <row r="19" spans="1:59" x14ac:dyDescent="0.35">
      <c r="C19" s="20"/>
      <c r="D19" s="310"/>
      <c r="G19" s="2"/>
      <c r="U19" s="2"/>
      <c r="AA19" s="24"/>
      <c r="AB19" s="24"/>
      <c r="AC19" s="24"/>
      <c r="AD19" s="24"/>
      <c r="AE19" s="24"/>
      <c r="AF19" s="24"/>
      <c r="AG19" s="24"/>
      <c r="AH19" s="24"/>
      <c r="AI19" s="24"/>
      <c r="AJ19" s="24"/>
      <c r="AK19" s="24"/>
      <c r="AL19" s="24"/>
      <c r="AM19" s="24"/>
      <c r="AN19" s="24"/>
      <c r="AO19" s="24"/>
      <c r="AP19" s="24"/>
      <c r="AQ19" s="24"/>
      <c r="AR19" s="24"/>
      <c r="AS19" s="24"/>
      <c r="AT19" s="24"/>
      <c r="AU19" s="24"/>
      <c r="AV19" s="24"/>
      <c r="AW19" s="24"/>
      <c r="AX19" s="24"/>
      <c r="AY19" s="24"/>
      <c r="AZ19" s="24"/>
      <c r="BA19" s="24"/>
      <c r="BB19" s="24"/>
      <c r="BC19" s="24"/>
      <c r="BD19" s="24"/>
      <c r="BE19" s="24"/>
      <c r="BF19" s="24"/>
      <c r="BG19" s="24"/>
    </row>
    <row r="20" spans="1:59" x14ac:dyDescent="0.35">
      <c r="A20" t="s">
        <v>15</v>
      </c>
      <c r="C20" s="19" t="s">
        <v>29</v>
      </c>
      <c r="D20" s="8">
        <f>K29</f>
        <v>0.18</v>
      </c>
      <c r="E20" s="32" t="s">
        <v>78</v>
      </c>
      <c r="F20" s="7"/>
      <c r="G20" s="33">
        <f>D20</f>
        <v>0.18</v>
      </c>
      <c r="H20" s="32" t="s">
        <v>78</v>
      </c>
      <c r="I20" s="7"/>
      <c r="J20" s="33"/>
      <c r="K20" s="85">
        <f>G20</f>
        <v>0.18</v>
      </c>
      <c r="L20" s="32" t="s">
        <v>78</v>
      </c>
      <c r="M20" s="7"/>
      <c r="N20" s="7"/>
      <c r="O20" s="33">
        <f>K20*(K18+K19)</f>
        <v>0.11733440004272645</v>
      </c>
      <c r="P20" s="7"/>
      <c r="Q20" s="94">
        <f>-O20/$O$18</f>
        <v>0.18</v>
      </c>
      <c r="U20" s="2"/>
      <c r="AA20" s="24"/>
      <c r="AB20" s="24"/>
      <c r="AC20" s="24"/>
      <c r="AD20" s="24"/>
      <c r="AE20" s="24"/>
      <c r="AF20" s="24"/>
      <c r="AG20" s="24"/>
      <c r="AH20" s="24"/>
      <c r="AI20" s="24"/>
      <c r="AJ20" s="24"/>
      <c r="AK20" s="24"/>
      <c r="AL20" s="24"/>
      <c r="AM20" s="24"/>
      <c r="AN20" s="24"/>
      <c r="AO20" s="24"/>
      <c r="AP20" s="24"/>
      <c r="AQ20" s="24"/>
      <c r="AR20" s="24"/>
      <c r="AS20" s="24"/>
      <c r="AT20" s="24"/>
      <c r="AU20" s="24"/>
      <c r="AV20" s="24"/>
      <c r="AW20" s="24"/>
      <c r="AX20" s="24"/>
      <c r="AY20" s="24"/>
      <c r="AZ20" s="24"/>
      <c r="BA20" s="24"/>
      <c r="BB20" s="24"/>
      <c r="BC20" s="24"/>
      <c r="BD20" s="24"/>
      <c r="BE20" s="24"/>
      <c r="BF20" s="24"/>
      <c r="BG20" s="24"/>
    </row>
    <row r="21" spans="1:59" x14ac:dyDescent="0.35">
      <c r="A21" t="s">
        <v>241</v>
      </c>
      <c r="C21" s="20" t="s">
        <v>242</v>
      </c>
      <c r="D21" s="313">
        <v>437</v>
      </c>
      <c r="E21" s="23" t="s">
        <v>243</v>
      </c>
      <c r="G21" s="2">
        <f>D21/907.185*ABS(D18)</f>
        <v>0.31400634820088436</v>
      </c>
      <c r="H21" s="23" t="s">
        <v>363</v>
      </c>
      <c r="J21" s="2"/>
      <c r="K21" s="120">
        <f>'Main Input &amp; Output'!D39</f>
        <v>0.31400634820088402</v>
      </c>
      <c r="L21" s="23" t="s">
        <v>363</v>
      </c>
      <c r="O21" s="2">
        <f>K21*K28</f>
        <v>0.15386311061843316</v>
      </c>
      <c r="P21" s="2"/>
      <c r="Q21" s="2"/>
      <c r="T21" t="s">
        <v>125</v>
      </c>
      <c r="U21" s="492" t="s">
        <v>598</v>
      </c>
      <c r="V21" s="492"/>
      <c r="W21" s="493"/>
      <c r="X21" s="494" t="s">
        <v>597</v>
      </c>
      <c r="Y21" s="492"/>
      <c r="Z21" s="493"/>
      <c r="AA21" s="24"/>
      <c r="AB21" s="24"/>
      <c r="AC21" s="24"/>
      <c r="AD21" s="24"/>
      <c r="AE21" s="24"/>
      <c r="AF21" s="24"/>
      <c r="AG21" s="24"/>
      <c r="AH21" s="24"/>
      <c r="AI21" s="24"/>
      <c r="AJ21" s="24"/>
      <c r="AK21" s="24"/>
      <c r="AL21" s="24"/>
      <c r="AM21" s="24"/>
      <c r="AN21" s="24"/>
      <c r="AO21" s="24"/>
      <c r="AP21" s="24"/>
      <c r="AQ21" s="24"/>
      <c r="AR21" s="24"/>
      <c r="AS21" s="24"/>
      <c r="AT21" s="24"/>
      <c r="AU21" s="24"/>
      <c r="AV21" s="24"/>
      <c r="AW21" s="24"/>
      <c r="AX21" s="24"/>
      <c r="AY21" s="24"/>
      <c r="AZ21" s="24"/>
      <c r="BA21" s="24"/>
      <c r="BB21" s="24"/>
      <c r="BC21" s="24"/>
      <c r="BD21" s="24"/>
      <c r="BE21" s="24"/>
      <c r="BF21" s="24"/>
      <c r="BG21" s="24"/>
    </row>
    <row r="22" spans="1:59" x14ac:dyDescent="0.35">
      <c r="A22" s="48"/>
      <c r="C22" s="20" t="s">
        <v>244</v>
      </c>
      <c r="D22" s="313">
        <v>170</v>
      </c>
      <c r="E22" s="23" t="s">
        <v>245</v>
      </c>
      <c r="G22" s="2">
        <f>D22/907.185*'Energy &amp; Unit Conversions'!R8*ABS(D18)</f>
        <v>3.4202979804032259E-2</v>
      </c>
      <c r="H22" s="23" t="s">
        <v>363</v>
      </c>
      <c r="J22" s="2"/>
      <c r="K22" s="120">
        <f>'Main Input &amp; Output'!D40</f>
        <v>3.42029798040323E-2</v>
      </c>
      <c r="L22" s="23" t="s">
        <v>363</v>
      </c>
      <c r="O22" s="2">
        <f>K22*K30</f>
        <v>8.5507449510080751E-3</v>
      </c>
      <c r="P22" s="2"/>
      <c r="Q22" s="2"/>
      <c r="U22" s="109" t="s">
        <v>213</v>
      </c>
      <c r="V22" s="109" t="s">
        <v>214</v>
      </c>
      <c r="W22" s="112" t="s">
        <v>215</v>
      </c>
      <c r="X22" s="69" t="s">
        <v>213</v>
      </c>
      <c r="Y22" s="109" t="s">
        <v>214</v>
      </c>
      <c r="Z22" s="112" t="s">
        <v>215</v>
      </c>
      <c r="AA22" s="24"/>
      <c r="AB22" s="24"/>
      <c r="AC22" s="24"/>
      <c r="AD22" s="24"/>
      <c r="AE22" s="24"/>
      <c r="AF22" s="24"/>
      <c r="AG22" s="24"/>
      <c r="AH22" s="24"/>
      <c r="AI22" s="24"/>
      <c r="AJ22" s="24"/>
      <c r="AK22" s="24"/>
      <c r="AL22" s="24"/>
      <c r="AM22" s="24"/>
      <c r="AN22" s="24"/>
      <c r="AO22" s="24"/>
      <c r="AP22" s="24"/>
      <c r="AQ22" s="24"/>
      <c r="AR22" s="24"/>
      <c r="AS22" s="24"/>
      <c r="AT22" s="24"/>
      <c r="AU22" s="24"/>
      <c r="AV22" s="24"/>
      <c r="AW22" s="24"/>
      <c r="AX22" s="24"/>
      <c r="AY22" s="24"/>
      <c r="AZ22" s="24"/>
      <c r="BA22" s="24"/>
      <c r="BB22" s="24"/>
      <c r="BC22" s="24"/>
      <c r="BD22" s="24"/>
      <c r="BE22" s="24"/>
      <c r="BF22" s="24"/>
      <c r="BG22" s="24"/>
    </row>
    <row r="23" spans="1:59" x14ac:dyDescent="0.35">
      <c r="A23" s="48"/>
      <c r="C23" s="20"/>
      <c r="D23" s="319"/>
      <c r="F23" s="72"/>
      <c r="G23" s="23"/>
      <c r="J23" s="2"/>
      <c r="K23" s="80"/>
      <c r="L23" s="23"/>
      <c r="O23" s="2"/>
      <c r="Q23" s="2"/>
      <c r="U23" s="12">
        <v>-0.58799999999999997</v>
      </c>
      <c r="V23" s="12">
        <v>-0.98099999999999998</v>
      </c>
      <c r="W23" s="25">
        <v>0.19900000000000001</v>
      </c>
      <c r="X23" s="11">
        <v>-0.41299999999999998</v>
      </c>
      <c r="Y23" s="58">
        <v>-0.66500000000000004</v>
      </c>
      <c r="Z23" s="25">
        <v>0.111</v>
      </c>
    </row>
    <row r="24" spans="1:59" x14ac:dyDescent="0.35">
      <c r="A24" s="48"/>
      <c r="C24" s="20"/>
      <c r="D24" s="319"/>
      <c r="F24" s="72"/>
      <c r="G24" s="23"/>
      <c r="J24" s="2"/>
      <c r="K24" s="80"/>
      <c r="L24" s="121"/>
      <c r="O24" s="2"/>
      <c r="Q24" s="2"/>
    </row>
    <row r="25" spans="1:59" x14ac:dyDescent="0.35">
      <c r="A25" s="31"/>
      <c r="C25" s="20" t="s">
        <v>68</v>
      </c>
      <c r="D25" s="319"/>
      <c r="F25" s="17"/>
      <c r="G25" s="23"/>
      <c r="J25" s="2"/>
      <c r="K25" s="66"/>
      <c r="L25" s="20"/>
      <c r="O25" s="2">
        <f>SUM(O21:O22)</f>
        <v>0.16241385556944124</v>
      </c>
      <c r="Q25" s="97">
        <f>-O25/$O$18</f>
        <v>0.24915535420008025</v>
      </c>
      <c r="U25" s="2"/>
    </row>
    <row r="26" spans="1:59" x14ac:dyDescent="0.35">
      <c r="A26" s="31"/>
      <c r="C26" s="49" t="s">
        <v>62</v>
      </c>
      <c r="D26" s="328"/>
      <c r="E26" s="35"/>
      <c r="F26" s="81"/>
      <c r="G26" s="77"/>
      <c r="H26" s="35"/>
      <c r="I26" s="35"/>
      <c r="J26" s="36"/>
      <c r="K26" s="419">
        <f>IF(I28=1,O29,IF(I28=2,O30,O31))</f>
        <v>4.2999999999999999E-4</v>
      </c>
      <c r="L26" s="77"/>
      <c r="M26" s="35"/>
      <c r="N26" s="35"/>
      <c r="O26" s="36">
        <f>K26</f>
        <v>4.2999999999999999E-4</v>
      </c>
      <c r="P26" s="35"/>
      <c r="Q26" s="400">
        <f>-O26/$O$18</f>
        <v>6.5965309382257336E-4</v>
      </c>
      <c r="U26" s="2"/>
    </row>
    <row r="27" spans="1:59" x14ac:dyDescent="0.35">
      <c r="C27" s="34" t="s">
        <v>33</v>
      </c>
      <c r="D27" s="328"/>
      <c r="E27" s="35"/>
      <c r="F27" s="35"/>
      <c r="G27" s="35"/>
      <c r="H27" s="35"/>
      <c r="I27" s="35"/>
      <c r="J27" s="35"/>
      <c r="K27" s="35"/>
      <c r="L27" s="35"/>
      <c r="M27" s="35"/>
      <c r="N27" s="35"/>
      <c r="O27" s="36">
        <f>O26+O25+O20+O18</f>
        <v>-0.3716795224029793</v>
      </c>
      <c r="P27" s="35"/>
      <c r="Q27" s="103">
        <f>Q25+Q20+Q18+Q26</f>
        <v>-0.57018499270609724</v>
      </c>
      <c r="U27" s="2"/>
    </row>
    <row r="28" spans="1:59" x14ac:dyDescent="0.35">
      <c r="C28" s="28" t="s">
        <v>81</v>
      </c>
      <c r="D28" s="329"/>
      <c r="E28" s="12"/>
      <c r="F28" s="12"/>
      <c r="G28" s="58"/>
      <c r="H28" s="12"/>
      <c r="I28" s="47">
        <f>L11</f>
        <v>2</v>
      </c>
      <c r="J28" s="58" t="str">
        <f>VLOOKUP(I28,'Emission Factors'!B6:C8,2,FALSE)</f>
        <v>Natural gas</v>
      </c>
      <c r="K28">
        <f>VLOOKUP(I28,'Emission Factors'!F6:G8,2,FALSE)</f>
        <v>0.49</v>
      </c>
      <c r="L28" s="12"/>
      <c r="M28" s="24"/>
      <c r="R28" s="24"/>
      <c r="S28" s="12"/>
    </row>
    <row r="29" spans="1:59" x14ac:dyDescent="0.35">
      <c r="C29" s="28" t="s">
        <v>15</v>
      </c>
      <c r="D29" s="319"/>
      <c r="I29" s="43">
        <f>Y11</f>
        <v>2</v>
      </c>
      <c r="J29" s="24" t="str">
        <f>VLOOKUP(I29,'Emission Factors'!B34:C36,2,FALSE)</f>
        <v>Natural gas power plant</v>
      </c>
      <c r="K29">
        <f>VLOOKUP(I29,'Emission Factors'!F34:G36,2,FALSE)</f>
        <v>0.18</v>
      </c>
      <c r="N29" t="s">
        <v>669</v>
      </c>
      <c r="O29" s="401">
        <v>4.17E-4</v>
      </c>
      <c r="P29" s="401"/>
      <c r="Q29" s="401">
        <v>6.4000000000000005E-4</v>
      </c>
    </row>
    <row r="30" spans="1:59" x14ac:dyDescent="0.35">
      <c r="C30" s="28" t="s">
        <v>9</v>
      </c>
      <c r="D30" s="319"/>
      <c r="I30" s="43">
        <f>O11</f>
        <v>2</v>
      </c>
      <c r="J30" s="24" t="str">
        <f>VLOOKUP(I30,'Emission Factors'!B20:C22,2,FALSE)</f>
        <v>Natural gas industrial furnace</v>
      </c>
      <c r="K30">
        <f>VLOOKUP(I30,'Emission Factors'!F20:G22,2,FALSE)</f>
        <v>0.25</v>
      </c>
      <c r="N30" t="s">
        <v>672</v>
      </c>
      <c r="O30" s="401">
        <v>4.2999999999999999E-4</v>
      </c>
      <c r="P30" s="401"/>
      <c r="Q30" s="401">
        <v>6.5965309382257336E-4</v>
      </c>
    </row>
    <row r="31" spans="1:59" x14ac:dyDescent="0.35">
      <c r="D31" s="319"/>
      <c r="N31" t="s">
        <v>670</v>
      </c>
      <c r="O31" s="401">
        <v>4.57E-4</v>
      </c>
      <c r="P31" s="401"/>
      <c r="Q31" s="401">
        <v>6.9999999999999999E-4</v>
      </c>
    </row>
    <row r="32" spans="1:59" x14ac:dyDescent="0.35">
      <c r="D32" s="319"/>
    </row>
    <row r="33" spans="1:26" x14ac:dyDescent="0.35">
      <c r="D33" s="319"/>
    </row>
    <row r="34" spans="1:26" x14ac:dyDescent="0.35">
      <c r="B34" s="16" t="s">
        <v>46</v>
      </c>
      <c r="C34" s="16" t="s">
        <v>88</v>
      </c>
      <c r="D34" s="355"/>
      <c r="E34" s="15"/>
      <c r="F34" s="15"/>
      <c r="G34" s="15"/>
      <c r="H34" s="15"/>
      <c r="I34" s="15"/>
      <c r="J34" s="15"/>
      <c r="K34" s="15"/>
      <c r="L34" s="15"/>
      <c r="M34" s="15"/>
      <c r="N34" s="15"/>
      <c r="O34" s="15"/>
      <c r="P34" s="15"/>
      <c r="Q34" s="15"/>
      <c r="R34" s="24"/>
      <c r="S34" s="24"/>
      <c r="T34" s="24"/>
    </row>
    <row r="35" spans="1:26" x14ac:dyDescent="0.35">
      <c r="D35" s="319"/>
      <c r="N35" s="24"/>
      <c r="R35" s="24"/>
      <c r="S35" s="24"/>
      <c r="T35" s="24"/>
    </row>
    <row r="36" spans="1:26" x14ac:dyDescent="0.35">
      <c r="C36" s="40" t="s">
        <v>85</v>
      </c>
      <c r="D36" s="356" t="s">
        <v>89</v>
      </c>
      <c r="E36" s="39"/>
      <c r="F36" s="39" t="s">
        <v>379</v>
      </c>
      <c r="G36" s="39" t="s">
        <v>671</v>
      </c>
      <c r="H36" s="39"/>
      <c r="I36" s="39"/>
      <c r="J36" s="39"/>
      <c r="K36" s="39"/>
      <c r="L36" s="39"/>
      <c r="M36" s="39"/>
      <c r="N36" s="39"/>
      <c r="O36" s="39"/>
      <c r="P36" s="39"/>
      <c r="Q36" s="39"/>
      <c r="R36" s="24"/>
      <c r="S36" s="24"/>
      <c r="T36" s="24"/>
    </row>
    <row r="37" spans="1:26" x14ac:dyDescent="0.35">
      <c r="D37" s="319" t="s">
        <v>36</v>
      </c>
      <c r="G37" t="s">
        <v>41</v>
      </c>
      <c r="K37" t="s">
        <v>57</v>
      </c>
    </row>
    <row r="38" spans="1:26" x14ac:dyDescent="0.35">
      <c r="A38" t="s">
        <v>58</v>
      </c>
      <c r="C38" s="7" t="s">
        <v>27</v>
      </c>
      <c r="D38" s="325" t="s">
        <v>34</v>
      </c>
      <c r="E38" s="7" t="s">
        <v>35</v>
      </c>
      <c r="F38" s="7"/>
      <c r="G38" s="7" t="s">
        <v>34</v>
      </c>
      <c r="H38" s="7" t="s">
        <v>35</v>
      </c>
      <c r="I38" s="7"/>
      <c r="J38" s="7"/>
      <c r="K38" s="7" t="s">
        <v>34</v>
      </c>
      <c r="L38" s="7" t="s">
        <v>35</v>
      </c>
      <c r="M38" s="7"/>
      <c r="N38" s="7"/>
      <c r="O38" s="64" t="s">
        <v>597</v>
      </c>
      <c r="P38" s="7"/>
      <c r="Q38" s="64" t="s">
        <v>598</v>
      </c>
    </row>
    <row r="39" spans="1:26" x14ac:dyDescent="0.35">
      <c r="A39" t="s">
        <v>61</v>
      </c>
      <c r="C39" s="20" t="s">
        <v>28</v>
      </c>
      <c r="D39" s="318">
        <f>0.254/1.256</f>
        <v>0.20222929936305734</v>
      </c>
      <c r="E39" s="23" t="s">
        <v>246</v>
      </c>
      <c r="G39" s="2">
        <f>D39</f>
        <v>0.20222929936305734</v>
      </c>
      <c r="H39" s="23" t="s">
        <v>246</v>
      </c>
      <c r="K39" s="343">
        <f>G39</f>
        <v>0.20222929936305734</v>
      </c>
      <c r="L39" s="23" t="s">
        <v>240</v>
      </c>
      <c r="O39" s="2">
        <f>-K39</f>
        <v>-0.20222929936305734</v>
      </c>
      <c r="Q39" s="38">
        <f>-O39/$O$39</f>
        <v>-1</v>
      </c>
      <c r="U39" s="2"/>
    </row>
    <row r="40" spans="1:26" x14ac:dyDescent="0.35">
      <c r="C40" s="20"/>
      <c r="D40" s="318"/>
      <c r="E40" s="12"/>
      <c r="F40" s="12"/>
      <c r="G40" s="55"/>
      <c r="H40" s="12"/>
      <c r="I40" s="12"/>
      <c r="J40" s="12"/>
      <c r="K40" s="12"/>
      <c r="L40" s="12"/>
      <c r="M40" s="12"/>
      <c r="N40" s="12"/>
      <c r="O40" s="12"/>
      <c r="P40" s="12"/>
      <c r="Q40" s="12"/>
      <c r="U40" s="2"/>
    </row>
    <row r="41" spans="1:26" x14ac:dyDescent="0.35">
      <c r="A41" t="s">
        <v>15</v>
      </c>
      <c r="C41" s="19" t="s">
        <v>29</v>
      </c>
      <c r="D41" s="8">
        <f>K47</f>
        <v>0.18</v>
      </c>
      <c r="E41" s="32" t="s">
        <v>78</v>
      </c>
      <c r="F41" s="7"/>
      <c r="G41" s="33">
        <f>D41</f>
        <v>0.18</v>
      </c>
      <c r="H41" s="32" t="s">
        <v>78</v>
      </c>
      <c r="I41" s="7"/>
      <c r="J41" s="7"/>
      <c r="K41" s="85">
        <f>G41</f>
        <v>0.18</v>
      </c>
      <c r="L41" s="32" t="s">
        <v>78</v>
      </c>
      <c r="M41" s="7"/>
      <c r="N41" s="7"/>
      <c r="O41" s="33">
        <f>K41*(K39+K40)</f>
        <v>3.6401273885350319E-2</v>
      </c>
      <c r="P41" s="7"/>
      <c r="Q41" s="94">
        <f>-O41/$O$39</f>
        <v>0.18</v>
      </c>
      <c r="U41" s="2"/>
    </row>
    <row r="42" spans="1:26" x14ac:dyDescent="0.35">
      <c r="A42" t="s">
        <v>241</v>
      </c>
      <c r="C42" s="20" t="s">
        <v>242</v>
      </c>
      <c r="D42" s="313">
        <v>263.7</v>
      </c>
      <c r="E42" s="23" t="s">
        <v>243</v>
      </c>
      <c r="G42" s="2">
        <f>D42/907.185*ABS(D39)</f>
        <v>5.8783893298542438E-2</v>
      </c>
      <c r="H42" s="23" t="s">
        <v>365</v>
      </c>
      <c r="K42" s="120">
        <f>'Main Input &amp; Output'!D46</f>
        <v>5.8783893298542403E-2</v>
      </c>
      <c r="L42" s="23" t="s">
        <v>365</v>
      </c>
      <c r="O42" s="2">
        <f>K42*K46</f>
        <v>2.8804107716285776E-2</v>
      </c>
      <c r="Q42" s="97">
        <f>-O42/$O$39</f>
        <v>0.14243291059706667</v>
      </c>
      <c r="T42" t="s">
        <v>125</v>
      </c>
      <c r="U42" s="122" t="s">
        <v>598</v>
      </c>
      <c r="V42" s="122"/>
      <c r="W42" s="123"/>
      <c r="X42" s="124" t="s">
        <v>597</v>
      </c>
      <c r="Y42" s="122"/>
      <c r="Z42" s="123"/>
    </row>
    <row r="43" spans="1:26" x14ac:dyDescent="0.35">
      <c r="A43" s="31"/>
      <c r="C43" s="20"/>
      <c r="D43" s="319"/>
      <c r="F43" s="17"/>
      <c r="G43" s="23"/>
      <c r="J43" s="2"/>
      <c r="K43" s="66"/>
      <c r="L43" s="20"/>
      <c r="O43" s="2"/>
      <c r="U43" s="109" t="s">
        <v>213</v>
      </c>
      <c r="V43" s="109" t="s">
        <v>214</v>
      </c>
      <c r="W43" s="112" t="s">
        <v>215</v>
      </c>
      <c r="X43" s="69" t="s">
        <v>213</v>
      </c>
      <c r="Y43" s="109" t="s">
        <v>214</v>
      </c>
      <c r="Z43" s="112" t="s">
        <v>215</v>
      </c>
    </row>
    <row r="44" spans="1:26" x14ac:dyDescent="0.35">
      <c r="A44" s="31"/>
      <c r="C44" s="49" t="s">
        <v>62</v>
      </c>
      <c r="D44" s="328"/>
      <c r="E44" s="35"/>
      <c r="F44" s="81"/>
      <c r="G44" s="77"/>
      <c r="H44" s="35"/>
      <c r="I44" s="35"/>
      <c r="J44" s="36"/>
      <c r="K44" s="341">
        <f>IF(I46=1,O46,IF(I28=2,O47,O48))</f>
        <v>4.4200000000000001E-4</v>
      </c>
      <c r="L44" s="77"/>
      <c r="M44" s="35"/>
      <c r="N44" s="35"/>
      <c r="O44" s="36">
        <f>K44</f>
        <v>4.4200000000000001E-4</v>
      </c>
      <c r="P44" s="35"/>
      <c r="Q44" s="104">
        <f>-O44/$O$39</f>
        <v>2.1856377952755904E-3</v>
      </c>
      <c r="U44" s="12">
        <v>-0.57799999999999996</v>
      </c>
      <c r="V44" s="12">
        <v>-0.97799999999999998</v>
      </c>
      <c r="W44" s="25">
        <v>0.21299999999999999</v>
      </c>
      <c r="X44" s="11">
        <v>-7.2400000000000006E-2</v>
      </c>
      <c r="Y44" s="12">
        <v>-0.122</v>
      </c>
      <c r="Z44" s="25">
        <v>2.6700000000000002E-2</v>
      </c>
    </row>
    <row r="45" spans="1:26" x14ac:dyDescent="0.35">
      <c r="C45" s="34" t="s">
        <v>33</v>
      </c>
      <c r="D45" s="328"/>
      <c r="E45" s="35"/>
      <c r="F45" s="35"/>
      <c r="G45" s="35"/>
      <c r="H45" s="35"/>
      <c r="I45" s="35"/>
      <c r="J45" s="35"/>
      <c r="K45" s="35"/>
      <c r="L45" s="35"/>
      <c r="M45" s="35"/>
      <c r="N45" s="35"/>
      <c r="O45" s="36">
        <f>O44+O42+O41+O39</f>
        <v>-0.13658191776142126</v>
      </c>
      <c r="P45" s="35"/>
      <c r="Q45" s="103">
        <f>Q42+Q41+Q39+Q44</f>
        <v>-0.67538145160765772</v>
      </c>
      <c r="U45" s="12">
        <v>-0.68400000000000005</v>
      </c>
      <c r="V45" s="12">
        <v>-0.98399999999999999</v>
      </c>
      <c r="W45" s="25">
        <v>4.0800000000000003E-2</v>
      </c>
      <c r="X45" s="11">
        <v>-0.13100000000000001</v>
      </c>
      <c r="Y45" s="12">
        <v>-0.189</v>
      </c>
      <c r="Z45" s="25">
        <v>7.8300000000000002E-3</v>
      </c>
    </row>
    <row r="46" spans="1:26" x14ac:dyDescent="0.35">
      <c r="C46" s="28" t="s">
        <v>81</v>
      </c>
      <c r="D46" s="329"/>
      <c r="E46" s="12"/>
      <c r="F46" s="12"/>
      <c r="G46" s="12"/>
      <c r="H46" s="12"/>
      <c r="I46" s="47">
        <f>L11</f>
        <v>2</v>
      </c>
      <c r="J46" s="58" t="str">
        <f>VLOOKUP(I46,'Emission Factors'!B6:C8,2,FALSE)</f>
        <v>Natural gas</v>
      </c>
      <c r="K46">
        <f>VLOOKUP(I46,'Emission Factors'!F6:G8,2,FALSE)</f>
        <v>0.49</v>
      </c>
      <c r="L46" s="12"/>
      <c r="M46" s="24"/>
      <c r="N46" t="s">
        <v>669</v>
      </c>
      <c r="O46">
        <v>4.3899999999999999E-4</v>
      </c>
      <c r="Q46">
        <v>2.1700000000000001E-3</v>
      </c>
      <c r="R46" s="24"/>
      <c r="S46" s="12"/>
      <c r="U46" s="12">
        <v>-0.70799999999999996</v>
      </c>
      <c r="V46" s="12">
        <v>-0.98599999999999999</v>
      </c>
      <c r="W46" s="25">
        <v>2.3999999999999998E-3</v>
      </c>
      <c r="X46" s="11">
        <v>-0.17</v>
      </c>
      <c r="Y46" s="12">
        <v>-0.23599999999999999</v>
      </c>
      <c r="Z46" s="25">
        <v>5.7200000000000003E-4</v>
      </c>
    </row>
    <row r="47" spans="1:26" x14ac:dyDescent="0.35">
      <c r="C47" s="28" t="s">
        <v>15</v>
      </c>
      <c r="D47" s="319"/>
      <c r="I47" s="43">
        <f>Y11</f>
        <v>2</v>
      </c>
      <c r="J47" s="24" t="str">
        <f>VLOOKUP(I47,'Emission Factors'!B34:C36,2,FALSE)</f>
        <v>Natural gas power plant</v>
      </c>
      <c r="K47">
        <f>VLOOKUP(I47,'Emission Factors'!F34:G36,2,FALSE)</f>
        <v>0.18</v>
      </c>
      <c r="N47" t="s">
        <v>672</v>
      </c>
      <c r="O47">
        <v>4.4200000000000001E-4</v>
      </c>
      <c r="Q47">
        <v>2.1856377952755904E-3</v>
      </c>
      <c r="U47" s="12">
        <v>-0.625</v>
      </c>
      <c r="V47" s="12">
        <v>-0.98</v>
      </c>
      <c r="W47" s="25">
        <v>0.13600000000000001</v>
      </c>
      <c r="X47" s="11">
        <v>-8.3400000000000002E-2</v>
      </c>
      <c r="Y47" s="12">
        <v>-0.13100000000000001</v>
      </c>
      <c r="Z47" s="25">
        <v>1.8100000000000002E-2</v>
      </c>
    </row>
    <row r="48" spans="1:26" x14ac:dyDescent="0.35">
      <c r="D48" s="319"/>
      <c r="N48" t="s">
        <v>670</v>
      </c>
      <c r="O48">
        <v>4.4900000000000002E-4</v>
      </c>
      <c r="Q48">
        <v>2.2200000000000002E-3</v>
      </c>
    </row>
    <row r="49" spans="2:26" x14ac:dyDescent="0.35">
      <c r="D49" s="319"/>
    </row>
    <row r="50" spans="2:26" x14ac:dyDescent="0.35">
      <c r="B50" s="16" t="s">
        <v>46</v>
      </c>
      <c r="C50" s="16" t="s">
        <v>280</v>
      </c>
      <c r="D50" s="355"/>
      <c r="E50" s="15"/>
      <c r="F50" s="15"/>
      <c r="G50" s="15"/>
      <c r="H50" s="15"/>
      <c r="I50" s="15"/>
      <c r="J50" s="15"/>
      <c r="K50" s="15"/>
      <c r="L50" s="15"/>
      <c r="M50" s="15"/>
      <c r="N50" s="15"/>
      <c r="O50" s="15"/>
      <c r="P50" s="15"/>
      <c r="Q50" s="15"/>
      <c r="R50" s="24"/>
      <c r="S50" s="24"/>
      <c r="T50" s="24"/>
    </row>
    <row r="51" spans="2:26" x14ac:dyDescent="0.35">
      <c r="D51" s="319"/>
      <c r="N51" s="24"/>
      <c r="R51" s="24"/>
      <c r="S51" s="24"/>
      <c r="T51" s="24"/>
    </row>
    <row r="52" spans="2:26" x14ac:dyDescent="0.35">
      <c r="C52" s="40" t="s">
        <v>85</v>
      </c>
      <c r="D52" s="356" t="s">
        <v>281</v>
      </c>
      <c r="E52" s="39"/>
      <c r="F52" s="39" t="s">
        <v>379</v>
      </c>
      <c r="G52" s="39" t="s">
        <v>393</v>
      </c>
      <c r="H52" s="39"/>
      <c r="I52" s="39"/>
      <c r="J52" s="39"/>
      <c r="K52" s="39"/>
      <c r="L52" s="39"/>
      <c r="M52" s="39"/>
      <c r="N52" s="39"/>
      <c r="O52" s="39"/>
      <c r="P52" s="39"/>
      <c r="Q52" s="39"/>
      <c r="R52" s="24"/>
      <c r="S52" s="24"/>
      <c r="T52" s="24"/>
    </row>
    <row r="53" spans="2:26" x14ac:dyDescent="0.35">
      <c r="C53" s="12"/>
      <c r="D53" s="329" t="s">
        <v>36</v>
      </c>
      <c r="E53" s="12"/>
      <c r="F53" s="12"/>
      <c r="G53" s="12" t="s">
        <v>41</v>
      </c>
      <c r="H53" s="12"/>
      <c r="I53" s="12"/>
      <c r="J53" s="12"/>
      <c r="K53" s="12" t="s">
        <v>57</v>
      </c>
      <c r="L53" s="12"/>
      <c r="M53" s="12"/>
      <c r="N53" s="12"/>
      <c r="O53" s="12"/>
      <c r="P53" s="12"/>
      <c r="Q53" s="12"/>
    </row>
    <row r="54" spans="2:26" x14ac:dyDescent="0.35">
      <c r="C54" s="7" t="s">
        <v>27</v>
      </c>
      <c r="D54" s="325" t="s">
        <v>34</v>
      </c>
      <c r="E54" s="7" t="s">
        <v>35</v>
      </c>
      <c r="F54" s="7"/>
      <c r="G54" s="7" t="s">
        <v>34</v>
      </c>
      <c r="H54" s="7" t="s">
        <v>35</v>
      </c>
      <c r="I54" s="7"/>
      <c r="J54" s="7"/>
      <c r="K54" s="7" t="s">
        <v>34</v>
      </c>
      <c r="L54" s="7" t="s">
        <v>35</v>
      </c>
      <c r="M54" s="7"/>
      <c r="N54" s="7"/>
      <c r="O54" s="64" t="s">
        <v>597</v>
      </c>
      <c r="P54" s="7"/>
      <c r="Q54" s="64" t="s">
        <v>598</v>
      </c>
    </row>
    <row r="55" spans="2:26" x14ac:dyDescent="0.35">
      <c r="C55" s="20" t="s">
        <v>28</v>
      </c>
      <c r="D55" s="318">
        <v>0.52146317214599203</v>
      </c>
      <c r="E55" s="23" t="s">
        <v>282</v>
      </c>
      <c r="G55" s="2">
        <f>D55</f>
        <v>0.52146317214599203</v>
      </c>
      <c r="H55" s="23" t="s">
        <v>282</v>
      </c>
      <c r="K55" s="343">
        <f>G55</f>
        <v>0.52146317214599203</v>
      </c>
      <c r="L55" s="23" t="s">
        <v>282</v>
      </c>
      <c r="O55" s="2">
        <f>-K55</f>
        <v>-0.52146317214599203</v>
      </c>
      <c r="Q55" s="38">
        <f>-O55/$O$55</f>
        <v>-1</v>
      </c>
      <c r="U55" s="2"/>
    </row>
    <row r="56" spans="2:26" x14ac:dyDescent="0.35">
      <c r="C56" s="20"/>
      <c r="D56" s="310"/>
      <c r="G56" s="2"/>
      <c r="U56" s="2"/>
    </row>
    <row r="57" spans="2:26" x14ac:dyDescent="0.35">
      <c r="C57" s="19" t="s">
        <v>29</v>
      </c>
      <c r="D57" s="8">
        <f>K63</f>
        <v>0.18</v>
      </c>
      <c r="E57" s="32" t="s">
        <v>78</v>
      </c>
      <c r="F57" s="7"/>
      <c r="G57" s="33">
        <f>D57</f>
        <v>0.18</v>
      </c>
      <c r="H57" s="32" t="s">
        <v>78</v>
      </c>
      <c r="I57" s="7"/>
      <c r="J57" s="7"/>
      <c r="K57" s="85">
        <f>G57</f>
        <v>0.18</v>
      </c>
      <c r="L57" s="32" t="s">
        <v>78</v>
      </c>
      <c r="M57" s="7"/>
      <c r="N57" s="7"/>
      <c r="O57" s="33">
        <f>K57*(K55+K56)</f>
        <v>9.386337098627856E-2</v>
      </c>
      <c r="P57" s="7"/>
      <c r="Q57" s="160">
        <f>-O57/$O$55</f>
        <v>0.18</v>
      </c>
      <c r="U57" s="2"/>
    </row>
    <row r="58" spans="2:26" x14ac:dyDescent="0.35">
      <c r="C58" s="20" t="s">
        <v>242</v>
      </c>
      <c r="D58" s="313">
        <v>866</v>
      </c>
      <c r="E58" s="23" t="s">
        <v>243</v>
      </c>
      <c r="G58" s="2">
        <f>D58/907.185*ABS(D55)</f>
        <v>0.4977894333332552</v>
      </c>
      <c r="H58" s="23" t="s">
        <v>366</v>
      </c>
      <c r="K58" s="65">
        <f>'Main Input &amp; Output'!D52</f>
        <v>0.49778943333325498</v>
      </c>
      <c r="L58" s="23" t="s">
        <v>633</v>
      </c>
      <c r="O58" s="2">
        <f>K58*K62</f>
        <v>0.24391682233329492</v>
      </c>
      <c r="Q58" s="97">
        <f>-O58/O55</f>
        <v>0.46775464761873248</v>
      </c>
      <c r="T58" t="s">
        <v>125</v>
      </c>
      <c r="U58" s="122" t="s">
        <v>598</v>
      </c>
      <c r="V58" s="122"/>
      <c r="W58" s="123"/>
      <c r="X58" s="124" t="s">
        <v>597</v>
      </c>
      <c r="Y58" s="122"/>
      <c r="Z58" s="123"/>
    </row>
    <row r="59" spans="2:26" x14ac:dyDescent="0.35">
      <c r="C59" s="20"/>
      <c r="D59" s="7"/>
      <c r="E59" s="7"/>
      <c r="F59" s="72"/>
      <c r="G59" s="23"/>
      <c r="J59" s="2"/>
      <c r="K59" s="80"/>
      <c r="L59" s="121"/>
      <c r="O59" s="2"/>
      <c r="Q59" s="2"/>
      <c r="U59" s="109" t="s">
        <v>213</v>
      </c>
      <c r="V59" s="109" t="s">
        <v>214</v>
      </c>
      <c r="W59" s="112" t="s">
        <v>215</v>
      </c>
      <c r="X59" s="69" t="s">
        <v>213</v>
      </c>
      <c r="Y59" s="109" t="s">
        <v>214</v>
      </c>
      <c r="Z59" s="112" t="s">
        <v>215</v>
      </c>
    </row>
    <row r="60" spans="2:26" x14ac:dyDescent="0.35">
      <c r="C60" s="49" t="s">
        <v>62</v>
      </c>
      <c r="D60" s="35"/>
      <c r="E60" s="35"/>
      <c r="F60" s="81"/>
      <c r="G60" s="77"/>
      <c r="H60" s="35"/>
      <c r="I60" s="35"/>
      <c r="J60" s="36"/>
      <c r="K60" s="341">
        <f>IF(I62=1,O63,IF(I28=2,O64,O65))</f>
        <v>4.4000000000000002E-4</v>
      </c>
      <c r="L60" s="77"/>
      <c r="M60" s="35"/>
      <c r="N60" s="35"/>
      <c r="O60" s="36">
        <f>K60</f>
        <v>4.4000000000000002E-4</v>
      </c>
      <c r="P60" s="35"/>
      <c r="Q60" s="104">
        <f>-O60/$O$55</f>
        <v>8.4377962529790104E-4</v>
      </c>
      <c r="U60">
        <v>-0.47699999999999998</v>
      </c>
      <c r="V60">
        <v>-0.97499999999999998</v>
      </c>
      <c r="W60">
        <v>0.379</v>
      </c>
      <c r="X60">
        <v>-0.26</v>
      </c>
      <c r="Y60">
        <v>-0.499</v>
      </c>
      <c r="Z60">
        <v>0.16700000000000001</v>
      </c>
    </row>
    <row r="61" spans="2:26" x14ac:dyDescent="0.35">
      <c r="C61" s="34" t="s">
        <v>33</v>
      </c>
      <c r="D61" s="35"/>
      <c r="E61" s="35"/>
      <c r="F61" s="35"/>
      <c r="G61" s="35"/>
      <c r="H61" s="35"/>
      <c r="I61" s="35"/>
      <c r="J61" s="35"/>
      <c r="K61" s="35"/>
      <c r="L61" s="35"/>
      <c r="M61" s="35"/>
      <c r="N61" s="35"/>
      <c r="O61" s="36">
        <f>SUM(O55:O60)</f>
        <v>-0.18324297882641855</v>
      </c>
      <c r="P61" s="35"/>
      <c r="Q61" s="103">
        <f>SUM(Q55:Q60)</f>
        <v>-0.35140157275596967</v>
      </c>
      <c r="U61" s="161">
        <v>-0.46600000000000003</v>
      </c>
      <c r="V61">
        <v>-0.97499999999999998</v>
      </c>
      <c r="W61">
        <v>0.39700000000000002</v>
      </c>
      <c r="X61" s="162">
        <v>-0.255</v>
      </c>
      <c r="Y61">
        <v>-0.499</v>
      </c>
      <c r="Z61">
        <v>0.17499999999999999</v>
      </c>
    </row>
    <row r="62" spans="2:26" x14ac:dyDescent="0.35">
      <c r="C62" s="28" t="s">
        <v>81</v>
      </c>
      <c r="F62" s="12"/>
      <c r="G62" s="12"/>
      <c r="H62" s="12"/>
      <c r="I62" s="47">
        <f>L11</f>
        <v>2</v>
      </c>
      <c r="J62" s="58"/>
      <c r="K62">
        <f>VLOOKUP(I62,'Emission Factors'!F6:G8,2,FALSE)</f>
        <v>0.49</v>
      </c>
      <c r="L62" s="12"/>
      <c r="M62" s="24"/>
      <c r="R62" s="24"/>
      <c r="S62" s="12"/>
      <c r="U62" s="161">
        <v>-0.21299999999999999</v>
      </c>
      <c r="V62">
        <v>-0.96199999999999997</v>
      </c>
      <c r="W62">
        <v>0.81100000000000005</v>
      </c>
      <c r="X62" s="162">
        <v>-7.5999999999999998E-2</v>
      </c>
      <c r="Y62">
        <v>-0.34499999999999997</v>
      </c>
      <c r="Z62">
        <v>0.28999999999999998</v>
      </c>
    </row>
    <row r="63" spans="2:26" x14ac:dyDescent="0.35">
      <c r="C63" s="28" t="s">
        <v>15</v>
      </c>
      <c r="I63" s="43">
        <f>Y11</f>
        <v>2</v>
      </c>
      <c r="J63" s="24"/>
      <c r="K63">
        <f>VLOOKUP(I63,'Emission Factors'!F34:G36,2,FALSE)</f>
        <v>0.18</v>
      </c>
      <c r="N63" t="s">
        <v>669</v>
      </c>
      <c r="O63">
        <v>4.2400000000000001E-4</v>
      </c>
      <c r="Q63">
        <v>8.12E-4</v>
      </c>
    </row>
    <row r="64" spans="2:26" x14ac:dyDescent="0.35">
      <c r="N64" t="s">
        <v>672</v>
      </c>
      <c r="O64">
        <v>4.4000000000000002E-4</v>
      </c>
      <c r="Q64">
        <v>8.4377962529790104E-4</v>
      </c>
    </row>
    <row r="65" spans="14:17" x14ac:dyDescent="0.35">
      <c r="N65" t="s">
        <v>670</v>
      </c>
      <c r="O65">
        <v>4.64E-4</v>
      </c>
      <c r="Q65">
        <v>8.8900000000000003E-4</v>
      </c>
    </row>
  </sheetData>
  <sheetProtection sheet="1" objects="1" scenarios="1"/>
  <mergeCells count="4">
    <mergeCell ref="A2:G3"/>
    <mergeCell ref="U21:W21"/>
    <mergeCell ref="X21:Z21"/>
    <mergeCell ref="I2:I7"/>
  </mergeCells>
  <pageMargins left="0.7" right="0.7" top="0.75" bottom="0.75" header="0.3" footer="0.3"/>
  <pageSetup orientation="portrait" horizontalDpi="1200" verticalDpi="12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CC83CE-5936-4F0C-AE3B-8DFB358F1122}">
  <sheetPr codeName="Sheet15">
    <tabColor theme="4"/>
  </sheetPr>
  <dimension ref="A2:U47"/>
  <sheetViews>
    <sheetView zoomScaleNormal="100" workbookViewId="0">
      <selection activeCell="A2" sqref="A2:D3"/>
    </sheetView>
  </sheetViews>
  <sheetFormatPr defaultRowHeight="14.5" x14ac:dyDescent="0.35"/>
  <cols>
    <col min="2" max="2" width="9.81640625" customWidth="1"/>
    <col min="12" max="12" width="10.81640625" bestFit="1" customWidth="1"/>
    <col min="20" max="20" width="11.08984375" customWidth="1"/>
  </cols>
  <sheetData>
    <row r="2" spans="1:21" ht="14.5" customHeight="1" x14ac:dyDescent="0.35">
      <c r="A2" s="488" t="s">
        <v>450</v>
      </c>
      <c r="B2" s="488"/>
      <c r="C2" s="488"/>
      <c r="D2" s="488"/>
      <c r="R2" s="43"/>
      <c r="S2" t="s">
        <v>528</v>
      </c>
    </row>
    <row r="3" spans="1:21" ht="14.5" customHeight="1" x14ac:dyDescent="0.35">
      <c r="A3" s="488"/>
      <c r="B3" s="488"/>
      <c r="C3" s="488"/>
      <c r="D3" s="488"/>
    </row>
    <row r="4" spans="1:21" ht="15.5" x14ac:dyDescent="0.35">
      <c r="C4" s="269"/>
    </row>
    <row r="5" spans="1:21" ht="15.5" x14ac:dyDescent="0.35">
      <c r="B5" t="s">
        <v>48</v>
      </c>
      <c r="C5" s="269"/>
    </row>
    <row r="6" spans="1:21" x14ac:dyDescent="0.35">
      <c r="B6" t="s">
        <v>55</v>
      </c>
    </row>
    <row r="7" spans="1:21" x14ac:dyDescent="0.35">
      <c r="B7" t="s">
        <v>140</v>
      </c>
    </row>
    <row r="8" spans="1:21" x14ac:dyDescent="0.35">
      <c r="B8" t="s">
        <v>51</v>
      </c>
    </row>
    <row r="9" spans="1:21" x14ac:dyDescent="0.35">
      <c r="B9" t="s">
        <v>53</v>
      </c>
    </row>
    <row r="12" spans="1:21" x14ac:dyDescent="0.35">
      <c r="E12" t="s">
        <v>64</v>
      </c>
      <c r="I12" t="s">
        <v>65</v>
      </c>
      <c r="N12" t="s">
        <v>67</v>
      </c>
      <c r="S12" t="s">
        <v>451</v>
      </c>
    </row>
    <row r="13" spans="1:21" x14ac:dyDescent="0.35">
      <c r="B13" s="35" t="s">
        <v>63</v>
      </c>
      <c r="C13" s="63" t="s">
        <v>300</v>
      </c>
      <c r="D13" s="63"/>
      <c r="E13" s="44">
        <f>'Emission Factors'!G9</f>
        <v>2</v>
      </c>
      <c r="F13" s="44" t="str">
        <f>'Emission Factors'!C10</f>
        <v>Natural gas</v>
      </c>
      <c r="G13" s="44">
        <f>'Emission Factors'!G10</f>
        <v>0.49</v>
      </c>
      <c r="H13" s="35"/>
      <c r="I13" s="44">
        <f>'Emission Factors'!G23</f>
        <v>2</v>
      </c>
      <c r="J13" s="44" t="str">
        <f>'Emission Factors'!C24</f>
        <v>Natural gas industrial furnace</v>
      </c>
      <c r="K13" s="44"/>
      <c r="L13" s="44">
        <f>'Emission Factors'!G24</f>
        <v>0.25</v>
      </c>
      <c r="M13" s="63"/>
      <c r="N13" s="44">
        <f>'Emission Factors'!G30</f>
        <v>2</v>
      </c>
      <c r="O13" s="44" t="str">
        <f>'Emission Factors'!C31</f>
        <v>Steam methane reforming</v>
      </c>
      <c r="P13" s="44"/>
      <c r="Q13" s="44">
        <f>'Emission Factors'!G31</f>
        <v>10.62</v>
      </c>
      <c r="R13" s="63"/>
      <c r="S13" s="44">
        <f>'Emission Factors'!G16</f>
        <v>2</v>
      </c>
      <c r="T13" s="44" t="str">
        <f>'Emission Factors'!C17</f>
        <v>Natural gas industrial boiler</v>
      </c>
      <c r="U13" s="44">
        <f>'Emission Factors'!G17</f>
        <v>5.1800000000000006E-2</v>
      </c>
    </row>
    <row r="14" spans="1:21" x14ac:dyDescent="0.35">
      <c r="I14" s="24"/>
      <c r="J14" s="24"/>
      <c r="K14" s="24"/>
      <c r="L14" s="24"/>
      <c r="M14" s="24"/>
      <c r="N14" s="24"/>
      <c r="O14" s="24"/>
      <c r="P14" s="24"/>
    </row>
    <row r="15" spans="1:21" x14ac:dyDescent="0.35">
      <c r="B15" s="16" t="s">
        <v>452</v>
      </c>
      <c r="C15" s="16" t="s">
        <v>55</v>
      </c>
      <c r="D15" s="16"/>
      <c r="E15" s="15" t="s">
        <v>379</v>
      </c>
      <c r="F15" s="15" t="s">
        <v>470</v>
      </c>
      <c r="G15" s="15"/>
      <c r="H15" s="15"/>
      <c r="I15" s="15"/>
      <c r="J15" s="15"/>
      <c r="K15" s="15"/>
      <c r="L15" s="15"/>
      <c r="M15" s="15"/>
      <c r="N15" s="15"/>
    </row>
    <row r="16" spans="1:21" x14ac:dyDescent="0.35">
      <c r="B16" s="7" t="s">
        <v>27</v>
      </c>
      <c r="C16" s="7"/>
      <c r="D16" s="7"/>
      <c r="E16" s="7" t="s">
        <v>34</v>
      </c>
      <c r="F16" s="7" t="s">
        <v>35</v>
      </c>
      <c r="G16" s="7"/>
      <c r="H16" s="7"/>
      <c r="I16" s="64" t="s">
        <v>597</v>
      </c>
      <c r="J16" s="7"/>
      <c r="K16" s="7"/>
      <c r="L16" t="s">
        <v>599</v>
      </c>
      <c r="M16" s="7"/>
    </row>
    <row r="17" spans="2:15" x14ac:dyDescent="0.35">
      <c r="B17" s="4" t="s">
        <v>455</v>
      </c>
      <c r="C17" s="4"/>
      <c r="D17" s="4"/>
      <c r="E17" s="331">
        <v>1.4423627981516963E-4</v>
      </c>
      <c r="F17" s="4" t="s">
        <v>634</v>
      </c>
      <c r="G17" s="4"/>
      <c r="H17" s="4"/>
      <c r="I17" s="51">
        <f>E17</f>
        <v>1.4423627981516963E-4</v>
      </c>
      <c r="J17" s="4"/>
      <c r="K17" s="4"/>
      <c r="L17" s="51">
        <f>I17/'Energy &amp; Unit Conversions'!$E$14</f>
        <v>3.3351742274647865E-6</v>
      </c>
      <c r="M17" s="4"/>
    </row>
    <row r="18" spans="2:15" x14ac:dyDescent="0.35">
      <c r="B18" s="12" t="s">
        <v>453</v>
      </c>
      <c r="C18" s="12"/>
      <c r="D18" s="12"/>
      <c r="E18" s="330">
        <v>3.8190131983605005E-2</v>
      </c>
      <c r="F18" s="12" t="s">
        <v>370</v>
      </c>
      <c r="G18" s="12"/>
      <c r="H18" s="12"/>
      <c r="I18" s="55">
        <f>E18*G13</f>
        <v>1.8713164671966452E-2</v>
      </c>
      <c r="J18" s="12"/>
      <c r="K18" s="12"/>
      <c r="L18" s="55">
        <f>I18/'Energy &amp; Unit Conversions'!$E$14</f>
        <v>4.3270434184952602E-4</v>
      </c>
      <c r="M18" s="12"/>
    </row>
    <row r="19" spans="2:15" x14ac:dyDescent="0.35">
      <c r="B19" s="12" t="s">
        <v>454</v>
      </c>
      <c r="C19" s="12"/>
      <c r="D19" s="12"/>
      <c r="E19" s="330">
        <v>2.3560672373901546E-2</v>
      </c>
      <c r="F19" s="12" t="s">
        <v>411</v>
      </c>
      <c r="G19" s="12"/>
      <c r="H19" s="12"/>
      <c r="I19" s="55">
        <f>E19*Q13</f>
        <v>0.25021434061083442</v>
      </c>
      <c r="J19" s="12"/>
      <c r="K19" s="12"/>
      <c r="L19" s="55">
        <f>I19/'Energy &amp; Unit Conversions'!$E$14</f>
        <v>5.7857039935911023E-3</v>
      </c>
      <c r="M19" s="12"/>
      <c r="O19" t="s">
        <v>466</v>
      </c>
    </row>
    <row r="20" spans="2:15" x14ac:dyDescent="0.35">
      <c r="B20" s="58" t="s">
        <v>456</v>
      </c>
      <c r="E20" s="343">
        <v>1.0605891549230686</v>
      </c>
      <c r="F20" s="58" t="s">
        <v>370</v>
      </c>
      <c r="I20" s="2">
        <f>E20*L13</f>
        <v>0.26514728873076715</v>
      </c>
      <c r="L20" s="2">
        <f>I20/'Energy &amp; Unit Conversions'!$E$14</f>
        <v>6.1309984214111303E-3</v>
      </c>
      <c r="O20" t="s">
        <v>465</v>
      </c>
    </row>
    <row r="21" spans="2:15" x14ac:dyDescent="0.35">
      <c r="B21" s="58" t="s">
        <v>462</v>
      </c>
      <c r="E21" s="343">
        <v>0.39511731262542849</v>
      </c>
      <c r="F21" s="58" t="s">
        <v>463</v>
      </c>
      <c r="I21" s="2">
        <f>E21*U13</f>
        <v>2.0467076793997199E-2</v>
      </c>
      <c r="L21" s="2">
        <f>I21/'Energy &amp; Unit Conversions'!$E$14</f>
        <v>4.7326003639552335E-4</v>
      </c>
      <c r="O21" t="s">
        <v>464</v>
      </c>
    </row>
    <row r="22" spans="2:15" x14ac:dyDescent="0.35">
      <c r="B22" s="35" t="s">
        <v>73</v>
      </c>
      <c r="C22" s="35"/>
      <c r="D22" s="35"/>
      <c r="E22" s="328">
        <f>'Emission Factors'!S9</f>
        <v>3.11</v>
      </c>
      <c r="F22" s="35" t="s">
        <v>634</v>
      </c>
      <c r="G22" s="35"/>
      <c r="H22" s="35"/>
      <c r="I22" s="36">
        <f>E22</f>
        <v>3.11</v>
      </c>
      <c r="J22" s="35"/>
      <c r="K22" s="35"/>
      <c r="L22" s="36">
        <f>I22/'Energy &amp; Unit Conversions'!$E$14</f>
        <v>7.1912502601336512E-2</v>
      </c>
      <c r="M22" s="35"/>
    </row>
    <row r="23" spans="2:15" x14ac:dyDescent="0.35">
      <c r="B23" t="s">
        <v>68</v>
      </c>
      <c r="I23" s="2">
        <f>SUM(I17:I22)</f>
        <v>3.6646861070873804</v>
      </c>
      <c r="L23" s="2">
        <f>SUM(L17:L22)</f>
        <v>8.4738504568811254E-2</v>
      </c>
    </row>
    <row r="25" spans="2:15" x14ac:dyDescent="0.35">
      <c r="B25" s="16" t="s">
        <v>452</v>
      </c>
      <c r="C25" s="16" t="s">
        <v>140</v>
      </c>
      <c r="D25" s="16"/>
      <c r="E25" s="15" t="s">
        <v>379</v>
      </c>
      <c r="F25" s="15" t="s">
        <v>470</v>
      </c>
      <c r="G25" s="15"/>
      <c r="H25" s="15"/>
      <c r="I25" s="15"/>
      <c r="J25" s="15"/>
      <c r="K25" s="15"/>
      <c r="L25" s="15"/>
      <c r="M25" s="15"/>
      <c r="N25" s="15"/>
    </row>
    <row r="26" spans="2:15" x14ac:dyDescent="0.35">
      <c r="B26" s="7" t="s">
        <v>27</v>
      </c>
      <c r="C26" s="7"/>
      <c r="D26" s="7"/>
      <c r="E26" s="7" t="s">
        <v>34</v>
      </c>
      <c r="F26" s="7" t="s">
        <v>35</v>
      </c>
      <c r="G26" s="7"/>
      <c r="H26" s="7"/>
      <c r="I26" s="64" t="s">
        <v>597</v>
      </c>
      <c r="J26" s="7"/>
      <c r="K26" s="7"/>
      <c r="L26" t="s">
        <v>599</v>
      </c>
      <c r="M26" s="7"/>
    </row>
    <row r="27" spans="2:15" x14ac:dyDescent="0.35">
      <c r="B27" s="4" t="s">
        <v>455</v>
      </c>
      <c r="C27" s="4"/>
      <c r="D27" s="4"/>
      <c r="E27" s="331">
        <v>0.74429193140048255</v>
      </c>
      <c r="F27" s="4" t="s">
        <v>635</v>
      </c>
      <c r="G27" s="4"/>
      <c r="H27" s="4"/>
      <c r="I27" s="51">
        <f>E27</f>
        <v>0.74429193140048255</v>
      </c>
      <c r="J27" s="4"/>
      <c r="K27" s="4"/>
      <c r="L27" s="51">
        <f>I27/'Energy &amp; Unit Conversions'!$E$18</f>
        <v>2.7603395399606726E-2</v>
      </c>
      <c r="M27" s="4"/>
    </row>
    <row r="28" spans="2:15" x14ac:dyDescent="0.35">
      <c r="B28" s="12" t="s">
        <v>453</v>
      </c>
      <c r="C28" s="12"/>
      <c r="D28" s="12"/>
      <c r="E28" s="330">
        <v>3.7745412059167767E-2</v>
      </c>
      <c r="F28" s="12" t="s">
        <v>404</v>
      </c>
      <c r="G28" s="12"/>
      <c r="H28" s="12"/>
      <c r="I28" s="55">
        <f>E28*G13</f>
        <v>1.8495251908992205E-2</v>
      </c>
      <c r="J28" s="12"/>
      <c r="K28" s="12"/>
      <c r="L28" s="55">
        <f>I28/'Energy &amp; Unit Conversions'!$E$18</f>
        <v>6.8592944504800794E-4</v>
      </c>
      <c r="M28" s="12"/>
    </row>
    <row r="29" spans="2:15" x14ac:dyDescent="0.35">
      <c r="B29" s="35" t="s">
        <v>73</v>
      </c>
      <c r="C29" s="35"/>
      <c r="D29" s="35"/>
      <c r="E29" s="357">
        <f>'Emission Factors'!S10</f>
        <v>1.9130434782608696</v>
      </c>
      <c r="F29" s="35" t="s">
        <v>634</v>
      </c>
      <c r="G29" s="35"/>
      <c r="H29" s="35"/>
      <c r="I29" s="36">
        <f>E29</f>
        <v>1.9130434782608696</v>
      </c>
      <c r="J29" s="35"/>
      <c r="K29" s="35"/>
      <c r="L29" s="36">
        <f>I29/'Energy &amp; Unit Conversions'!$E$18</f>
        <v>7.0948633619756452E-2</v>
      </c>
      <c r="M29" s="35"/>
    </row>
    <row r="30" spans="2:15" x14ac:dyDescent="0.35">
      <c r="B30" t="s">
        <v>68</v>
      </c>
      <c r="I30" s="2">
        <f>SUM(I27:I29)</f>
        <v>2.6758306615703447</v>
      </c>
      <c r="L30" s="2">
        <f>SUM(L27:L29)</f>
        <v>9.9237958464411191E-2</v>
      </c>
    </row>
    <row r="33" spans="2:14" x14ac:dyDescent="0.35">
      <c r="B33" s="16" t="s">
        <v>452</v>
      </c>
      <c r="C33" s="16" t="s">
        <v>51</v>
      </c>
      <c r="D33" s="16"/>
      <c r="E33" s="15" t="s">
        <v>379</v>
      </c>
      <c r="F33" s="15" t="s">
        <v>470</v>
      </c>
      <c r="G33" s="15"/>
      <c r="H33" s="15"/>
      <c r="I33" s="15"/>
      <c r="J33" s="15"/>
      <c r="K33" s="15"/>
      <c r="L33" s="15"/>
      <c r="M33" s="15"/>
      <c r="N33" s="15"/>
    </row>
    <row r="34" spans="2:14" x14ac:dyDescent="0.35">
      <c r="B34" s="7" t="s">
        <v>27</v>
      </c>
      <c r="C34" s="7"/>
      <c r="D34" s="7"/>
      <c r="E34" s="7" t="s">
        <v>34</v>
      </c>
      <c r="F34" s="7" t="s">
        <v>35</v>
      </c>
      <c r="G34" s="7"/>
      <c r="H34" s="7"/>
      <c r="I34" s="64" t="s">
        <v>597</v>
      </c>
      <c r="J34" s="7"/>
      <c r="K34" s="7"/>
      <c r="L34" t="s">
        <v>599</v>
      </c>
      <c r="M34" s="7"/>
    </row>
    <row r="35" spans="2:14" x14ac:dyDescent="0.35">
      <c r="B35" s="4" t="s">
        <v>455</v>
      </c>
      <c r="C35" s="4"/>
      <c r="D35" s="4"/>
      <c r="E35" s="331">
        <v>3.7327027210507402E-2</v>
      </c>
      <c r="F35" s="4" t="s">
        <v>636</v>
      </c>
      <c r="G35" s="4"/>
      <c r="H35" s="4"/>
      <c r="I35" s="51">
        <f>E35</f>
        <v>3.7327027210507402E-2</v>
      </c>
      <c r="J35" s="4"/>
      <c r="K35" s="4"/>
      <c r="L35" s="51">
        <f>I35/'Energy &amp; Unit Conversions'!$E$14</f>
        <v>8.6311252134269197E-4</v>
      </c>
      <c r="M35" s="4"/>
    </row>
    <row r="36" spans="2:14" x14ac:dyDescent="0.35">
      <c r="B36" s="12" t="s">
        <v>453</v>
      </c>
      <c r="C36" s="12"/>
      <c r="D36" s="12"/>
      <c r="E36" s="330">
        <v>0.35815706810271808</v>
      </c>
      <c r="F36" s="12" t="s">
        <v>402</v>
      </c>
      <c r="G36" s="12"/>
      <c r="H36" s="12"/>
      <c r="I36" s="55">
        <f>E36*G13</f>
        <v>0.17549696337033185</v>
      </c>
      <c r="J36" s="12"/>
      <c r="K36" s="12"/>
      <c r="L36" s="55">
        <f>I36/'Energy &amp; Unit Conversions'!$E$14</f>
        <v>4.058014737908568E-3</v>
      </c>
      <c r="M36" s="12"/>
    </row>
    <row r="37" spans="2:14" x14ac:dyDescent="0.35">
      <c r="B37" s="7" t="s">
        <v>462</v>
      </c>
      <c r="C37" s="7"/>
      <c r="D37" s="7"/>
      <c r="E37" s="327">
        <v>1.1700406030323005</v>
      </c>
      <c r="F37" s="7" t="s">
        <v>468</v>
      </c>
      <c r="G37" s="7"/>
      <c r="H37" s="7"/>
      <c r="I37" s="33">
        <f>E37*U13</f>
        <v>6.060810323707317E-2</v>
      </c>
      <c r="J37" s="7"/>
      <c r="K37" s="7"/>
      <c r="L37" s="33">
        <f>I37/'Energy &amp; Unit Conversions'!$E$14</f>
        <v>1.4014406372019601E-3</v>
      </c>
      <c r="M37" s="7"/>
    </row>
    <row r="38" spans="2:14" x14ac:dyDescent="0.35">
      <c r="B38" s="35" t="s">
        <v>73</v>
      </c>
      <c r="C38" s="35"/>
      <c r="D38" s="35"/>
      <c r="E38" s="328">
        <f>'Emission Factors'!S7</f>
        <v>2.75</v>
      </c>
      <c r="F38" s="35" t="s">
        <v>636</v>
      </c>
      <c r="G38" s="35"/>
      <c r="H38" s="35"/>
      <c r="I38" s="36">
        <f>E38</f>
        <v>2.75</v>
      </c>
      <c r="J38" s="35"/>
      <c r="K38" s="35"/>
      <c r="L38" s="36">
        <f>I38/'Energy &amp; Unit Conversions'!$E$14</f>
        <v>6.3588225772885976E-2</v>
      </c>
      <c r="M38" s="35"/>
    </row>
    <row r="39" spans="2:14" x14ac:dyDescent="0.35">
      <c r="B39" t="s">
        <v>68</v>
      </c>
      <c r="I39" s="2">
        <f>SUM(I35:I38)</f>
        <v>3.0234320938179122</v>
      </c>
      <c r="L39" s="2">
        <f>SUM(L35:L38)</f>
        <v>6.9910793669339194E-2</v>
      </c>
    </row>
    <row r="41" spans="2:14" x14ac:dyDescent="0.35">
      <c r="B41" s="16" t="s">
        <v>452</v>
      </c>
      <c r="C41" s="16" t="s">
        <v>53</v>
      </c>
      <c r="D41" s="16"/>
      <c r="E41" s="15" t="s">
        <v>379</v>
      </c>
      <c r="F41" s="15" t="s">
        <v>470</v>
      </c>
      <c r="G41" s="15"/>
      <c r="H41" s="15"/>
      <c r="I41" s="15"/>
      <c r="J41" s="15"/>
      <c r="K41" s="15"/>
      <c r="L41" s="15"/>
      <c r="M41" s="15"/>
      <c r="N41" s="15"/>
    </row>
    <row r="42" spans="2:14" x14ac:dyDescent="0.35">
      <c r="B42" s="7" t="s">
        <v>27</v>
      </c>
      <c r="C42" s="7"/>
      <c r="D42" s="7"/>
      <c r="E42" s="7" t="s">
        <v>34</v>
      </c>
      <c r="F42" s="7" t="s">
        <v>35</v>
      </c>
      <c r="G42" s="7"/>
      <c r="H42" s="7"/>
      <c r="I42" s="64" t="s">
        <v>597</v>
      </c>
      <c r="J42" s="7"/>
      <c r="K42" s="7"/>
      <c r="L42" t="s">
        <v>599</v>
      </c>
      <c r="M42" s="7"/>
    </row>
    <row r="43" spans="2:14" x14ac:dyDescent="0.35">
      <c r="B43" s="4" t="s">
        <v>455</v>
      </c>
      <c r="C43" s="4"/>
      <c r="D43" s="4"/>
      <c r="E43" s="331">
        <v>0.17529429645847638</v>
      </c>
      <c r="F43" s="4" t="s">
        <v>637</v>
      </c>
      <c r="G43" s="4"/>
      <c r="H43" s="4"/>
      <c r="I43" s="51">
        <f>E43</f>
        <v>0.17529429645847638</v>
      </c>
      <c r="J43" s="4"/>
      <c r="K43" s="4"/>
      <c r="L43" s="51">
        <f>I43/'Energy &amp; Unit Conversions'!$E$15</f>
        <v>8.7237133700844224E-3</v>
      </c>
      <c r="M43" s="4"/>
    </row>
    <row r="44" spans="2:14" x14ac:dyDescent="0.35">
      <c r="B44" s="12" t="s">
        <v>453</v>
      </c>
      <c r="C44" s="12"/>
      <c r="D44" s="12"/>
      <c r="E44" s="330">
        <v>0.22047353048070523</v>
      </c>
      <c r="F44" s="12" t="s">
        <v>403</v>
      </c>
      <c r="G44" s="12"/>
      <c r="H44" s="12"/>
      <c r="I44" s="55">
        <f>E44*G13</f>
        <v>0.10803202993554556</v>
      </c>
      <c r="J44" s="12"/>
      <c r="K44" s="12"/>
      <c r="L44" s="55">
        <f>I44/'Energy &amp; Unit Conversions'!$E$15</f>
        <v>5.3763327329324952E-3</v>
      </c>
      <c r="M44" s="12"/>
    </row>
    <row r="45" spans="2:14" x14ac:dyDescent="0.35">
      <c r="B45" s="58" t="s">
        <v>462</v>
      </c>
      <c r="C45" s="12"/>
      <c r="D45" s="12"/>
      <c r="E45" s="330">
        <v>0.26121933345392606</v>
      </c>
      <c r="F45" s="58" t="s">
        <v>467</v>
      </c>
      <c r="G45" s="12"/>
      <c r="H45" s="12"/>
      <c r="I45" s="55">
        <f>E45*U13</f>
        <v>1.3531161472913372E-2</v>
      </c>
      <c r="J45" s="12"/>
      <c r="K45" s="12"/>
      <c r="L45" s="55">
        <f>I45/'Energy &amp; Unit Conversions'!$E$15</f>
        <v>6.7339312595368617E-4</v>
      </c>
      <c r="M45" s="12"/>
    </row>
    <row r="46" spans="2:14" x14ac:dyDescent="0.35">
      <c r="B46" s="35" t="s">
        <v>73</v>
      </c>
      <c r="C46" s="35"/>
      <c r="D46" s="35"/>
      <c r="E46" s="357">
        <f>'Emission Factors'!S8</f>
        <v>1.36755726371863</v>
      </c>
      <c r="F46" s="35" t="s">
        <v>634</v>
      </c>
      <c r="G46" s="35"/>
      <c r="H46" s="35"/>
      <c r="I46" s="36">
        <f>E46</f>
        <v>1.36755726371863</v>
      </c>
      <c r="J46" s="35"/>
      <c r="K46" s="35"/>
      <c r="L46" s="36">
        <f>I46/'Energy &amp; Unit Conversions'!$E$15</f>
        <v>6.805799062997063E-2</v>
      </c>
      <c r="M46" s="35"/>
    </row>
    <row r="47" spans="2:14" x14ac:dyDescent="0.35">
      <c r="B47" t="s">
        <v>68</v>
      </c>
      <c r="I47" s="2">
        <f>SUM(I43:I46)</f>
        <v>1.6644147515855652</v>
      </c>
      <c r="L47" s="2">
        <f>SUM(L43:L46)</f>
        <v>8.2831429858941236E-2</v>
      </c>
    </row>
  </sheetData>
  <sheetProtection sheet="1" objects="1" scenarios="1"/>
  <mergeCells count="1">
    <mergeCell ref="A2:D3"/>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3025C-F461-4DE2-9CAD-9E0FE1D199C9}">
  <sheetPr codeName="Sheet9">
    <tabColor theme="9"/>
  </sheetPr>
  <dimension ref="B1:AG42"/>
  <sheetViews>
    <sheetView zoomScaleNormal="100" workbookViewId="0">
      <selection activeCell="B1" sqref="B1:G2"/>
    </sheetView>
  </sheetViews>
  <sheetFormatPr defaultColWidth="8.81640625" defaultRowHeight="14.5" x14ac:dyDescent="0.35"/>
  <cols>
    <col min="1" max="1" width="4.453125" customWidth="1"/>
    <col min="8" max="8" width="11.36328125" customWidth="1"/>
    <col min="9" max="9" width="11.7265625" customWidth="1"/>
    <col min="11" max="11" width="9.54296875" customWidth="1"/>
    <col min="12" max="12" width="9.26953125" customWidth="1"/>
    <col min="13" max="13" width="9.6328125" customWidth="1"/>
    <col min="14" max="14" width="9.7265625" customWidth="1"/>
  </cols>
  <sheetData>
    <row r="1" spans="2:33" x14ac:dyDescent="0.35">
      <c r="B1" s="498" t="s">
        <v>0</v>
      </c>
      <c r="C1" s="498"/>
      <c r="D1" s="498"/>
      <c r="E1" s="498"/>
      <c r="F1" s="498"/>
      <c r="G1" s="498"/>
    </row>
    <row r="2" spans="2:33" ht="14.5" customHeight="1" x14ac:dyDescent="0.35">
      <c r="B2" s="498"/>
      <c r="C2" s="498"/>
      <c r="D2" s="498"/>
      <c r="E2" s="498"/>
      <c r="F2" s="498"/>
      <c r="G2" s="498"/>
    </row>
    <row r="3" spans="2:33" ht="14.5" customHeight="1" thickBot="1" x14ac:dyDescent="0.4">
      <c r="B3" s="288"/>
      <c r="C3" s="288"/>
      <c r="D3" s="288"/>
      <c r="E3" s="288"/>
      <c r="F3" s="288"/>
      <c r="G3" s="288"/>
    </row>
    <row r="4" spans="2:33" ht="15" customHeight="1" x14ac:dyDescent="0.35">
      <c r="B4" s="495" t="s">
        <v>512</v>
      </c>
      <c r="C4" s="496"/>
      <c r="D4" s="496"/>
      <c r="E4" s="496"/>
      <c r="F4" s="496"/>
      <c r="G4" s="496"/>
      <c r="H4" s="496"/>
      <c r="I4" s="497"/>
      <c r="J4" s="295"/>
      <c r="K4" s="440" t="s">
        <v>513</v>
      </c>
      <c r="L4" s="441"/>
      <c r="M4" s="441"/>
      <c r="N4" s="442"/>
      <c r="P4" s="440" t="s">
        <v>573</v>
      </c>
      <c r="Q4" s="441"/>
      <c r="R4" s="441"/>
      <c r="S4" s="441"/>
      <c r="T4" s="441"/>
      <c r="U4" s="441"/>
      <c r="V4" s="441"/>
      <c r="W4" s="441"/>
      <c r="X4" s="441"/>
      <c r="Y4" s="441"/>
      <c r="Z4" s="441"/>
      <c r="AA4" s="441"/>
      <c r="AB4" s="441"/>
      <c r="AC4" s="441"/>
      <c r="AD4" s="441"/>
      <c r="AE4" s="441"/>
      <c r="AF4" s="441"/>
      <c r="AG4" s="442"/>
    </row>
    <row r="5" spans="2:33" x14ac:dyDescent="0.35">
      <c r="B5" s="289" t="s">
        <v>4</v>
      </c>
      <c r="C5" s="12"/>
      <c r="D5" s="12"/>
      <c r="E5" s="12"/>
      <c r="F5" s="12"/>
      <c r="G5" s="12"/>
      <c r="H5" s="12"/>
      <c r="I5" s="143"/>
      <c r="J5" s="12"/>
      <c r="K5" s="136" t="s">
        <v>4</v>
      </c>
      <c r="L5" s="12"/>
      <c r="M5" s="12"/>
      <c r="N5" s="143"/>
      <c r="P5" s="136"/>
      <c r="Q5" s="12"/>
      <c r="R5" s="12"/>
      <c r="S5" s="12"/>
      <c r="T5" s="12"/>
      <c r="U5" s="12"/>
      <c r="V5" s="12"/>
      <c r="W5" s="12"/>
      <c r="X5" s="12"/>
      <c r="Y5" s="12"/>
      <c r="AA5" s="12"/>
      <c r="AB5" s="12"/>
      <c r="AC5" s="12"/>
      <c r="AD5" s="12"/>
      <c r="AE5" s="12"/>
      <c r="AF5" s="12"/>
      <c r="AG5" s="143"/>
    </row>
    <row r="6" spans="2:33" x14ac:dyDescent="0.35">
      <c r="B6" s="136">
        <v>1</v>
      </c>
      <c r="C6" s="12" t="s">
        <v>5</v>
      </c>
      <c r="D6" s="12"/>
      <c r="E6" s="12"/>
      <c r="F6" s="12">
        <v>1</v>
      </c>
      <c r="G6" s="12">
        <v>2.4E-2</v>
      </c>
      <c r="H6" s="12"/>
      <c r="I6" s="143"/>
      <c r="J6" s="12"/>
      <c r="K6" s="136" t="s">
        <v>379</v>
      </c>
      <c r="L6" s="12" t="s">
        <v>541</v>
      </c>
      <c r="M6" s="12"/>
      <c r="N6" s="143"/>
      <c r="P6" s="136" t="s">
        <v>74</v>
      </c>
      <c r="Q6" s="12"/>
      <c r="R6" s="12"/>
      <c r="S6" s="12"/>
      <c r="T6" s="12"/>
      <c r="U6" s="12"/>
      <c r="V6" s="12"/>
      <c r="W6" s="12"/>
      <c r="X6" s="12"/>
      <c r="Y6" s="12"/>
      <c r="Z6" s="12" t="s">
        <v>182</v>
      </c>
      <c r="AA6" s="12"/>
      <c r="AB6" s="12"/>
      <c r="AC6" s="12"/>
      <c r="AD6" s="12"/>
      <c r="AE6" s="12"/>
      <c r="AF6" s="12"/>
      <c r="AG6" s="143"/>
    </row>
    <row r="7" spans="2:33" ht="16.5" x14ac:dyDescent="0.45">
      <c r="B7" s="136">
        <v>2</v>
      </c>
      <c r="C7" s="12" t="s">
        <v>6</v>
      </c>
      <c r="D7" s="12"/>
      <c r="E7" s="12"/>
      <c r="F7" s="12">
        <v>2</v>
      </c>
      <c r="G7" s="55">
        <v>0.49</v>
      </c>
      <c r="H7" s="12"/>
      <c r="I7" s="143"/>
      <c r="J7" s="12"/>
      <c r="K7" s="136" t="s">
        <v>540</v>
      </c>
      <c r="L7" s="12"/>
      <c r="M7" s="12"/>
      <c r="N7" s="143"/>
      <c r="P7" s="136" t="s">
        <v>51</v>
      </c>
      <c r="Q7" s="12"/>
      <c r="R7" s="12"/>
      <c r="S7" s="12">
        <v>2.75</v>
      </c>
      <c r="T7" s="12" t="s">
        <v>642</v>
      </c>
      <c r="U7" s="12"/>
      <c r="V7" s="12"/>
      <c r="W7" s="12"/>
      <c r="X7" s="12"/>
      <c r="Y7" s="12"/>
      <c r="Z7" s="12" t="s">
        <v>569</v>
      </c>
      <c r="AA7" s="12"/>
      <c r="AB7" s="12">
        <v>298</v>
      </c>
      <c r="AC7" s="12" t="s">
        <v>650</v>
      </c>
      <c r="AD7" s="12"/>
      <c r="AE7" s="12"/>
      <c r="AF7" s="12"/>
      <c r="AG7" s="143"/>
    </row>
    <row r="8" spans="2:33" ht="17.5" x14ac:dyDescent="0.45">
      <c r="B8" s="136">
        <v>3</v>
      </c>
      <c r="C8" s="12" t="s">
        <v>574</v>
      </c>
      <c r="D8" s="12"/>
      <c r="E8" s="12"/>
      <c r="F8" s="12">
        <v>3</v>
      </c>
      <c r="G8" s="55">
        <v>0.8</v>
      </c>
      <c r="H8" s="12"/>
      <c r="I8" s="143"/>
      <c r="J8" s="12"/>
      <c r="K8" s="136"/>
      <c r="L8" s="12">
        <v>0.42</v>
      </c>
      <c r="M8" s="12" t="s">
        <v>638</v>
      </c>
      <c r="N8" s="143"/>
      <c r="P8" s="136" t="s">
        <v>53</v>
      </c>
      <c r="Q8" s="12"/>
      <c r="R8" s="12"/>
      <c r="S8" s="128">
        <v>1.36755726371863</v>
      </c>
      <c r="T8" s="395" t="s">
        <v>643</v>
      </c>
      <c r="U8" s="12"/>
      <c r="V8" s="12"/>
      <c r="W8" s="12"/>
      <c r="X8" s="12"/>
      <c r="Y8" s="12"/>
      <c r="Z8" s="12" t="s">
        <v>570</v>
      </c>
      <c r="AA8" s="12"/>
      <c r="AB8" s="12">
        <v>25</v>
      </c>
      <c r="AC8" s="12" t="s">
        <v>650</v>
      </c>
      <c r="AD8" s="12"/>
      <c r="AE8" s="12"/>
      <c r="AF8" s="12"/>
      <c r="AG8" s="143"/>
    </row>
    <row r="9" spans="2:33" ht="16.5" x14ac:dyDescent="0.45">
      <c r="B9" s="136"/>
      <c r="C9" s="12" t="s">
        <v>56</v>
      </c>
      <c r="D9" s="12"/>
      <c r="E9" s="12"/>
      <c r="F9" s="12"/>
      <c r="G9" s="12">
        <v>2</v>
      </c>
      <c r="H9" s="12"/>
      <c r="I9" s="143"/>
      <c r="J9" s="12"/>
      <c r="K9" s="136"/>
      <c r="L9" s="12"/>
      <c r="M9" s="12"/>
      <c r="N9" s="143"/>
      <c r="P9" s="136" t="s">
        <v>55</v>
      </c>
      <c r="Q9" s="12"/>
      <c r="R9" s="12"/>
      <c r="S9" s="12">
        <v>3.11</v>
      </c>
      <c r="T9" s="12" t="s">
        <v>644</v>
      </c>
      <c r="U9" s="12"/>
      <c r="V9" s="12"/>
      <c r="W9" s="12"/>
      <c r="X9" s="12"/>
      <c r="Y9" s="12"/>
      <c r="Z9" s="12"/>
      <c r="AA9" s="12"/>
      <c r="AB9" s="12"/>
      <c r="AC9" s="12"/>
      <c r="AD9" s="12"/>
      <c r="AE9" s="12"/>
      <c r="AF9" s="12"/>
      <c r="AG9" s="143"/>
    </row>
    <row r="10" spans="2:33" ht="16.5" x14ac:dyDescent="0.45">
      <c r="B10" s="136"/>
      <c r="C10" s="285" t="str">
        <f>VLOOKUP(G9,$B$6:$G$9,2,FALSE)</f>
        <v>Natural gas</v>
      </c>
      <c r="D10" s="12"/>
      <c r="E10" s="12"/>
      <c r="F10" s="12"/>
      <c r="G10" s="12">
        <f>VLOOKUP(G9,$B$6:$G$9,6,FALSE)</f>
        <v>0.49</v>
      </c>
      <c r="H10" s="12" t="s">
        <v>638</v>
      </c>
      <c r="I10" s="143"/>
      <c r="J10" s="12"/>
      <c r="K10" s="136" t="s">
        <v>379</v>
      </c>
      <c r="L10" s="12" t="s">
        <v>543</v>
      </c>
      <c r="M10" s="12"/>
      <c r="N10" s="143"/>
      <c r="P10" s="136" t="s">
        <v>140</v>
      </c>
      <c r="Q10" s="12"/>
      <c r="R10" s="12"/>
      <c r="S10" s="128">
        <f>88/46</f>
        <v>1.9130434782608696</v>
      </c>
      <c r="T10" s="12" t="s">
        <v>645</v>
      </c>
      <c r="U10" s="12"/>
      <c r="V10" s="12"/>
      <c r="W10" s="12"/>
      <c r="X10" s="12"/>
      <c r="Y10" s="12"/>
      <c r="Z10" s="12"/>
      <c r="AA10" s="12"/>
      <c r="AB10" s="12"/>
      <c r="AC10" s="12"/>
      <c r="AD10" s="12"/>
      <c r="AE10" s="12"/>
      <c r="AF10" s="12"/>
      <c r="AG10" s="143"/>
    </row>
    <row r="11" spans="2:33" ht="16.5" x14ac:dyDescent="0.45">
      <c r="B11" s="136"/>
      <c r="C11" s="12"/>
      <c r="D11" s="12"/>
      <c r="E11" s="12"/>
      <c r="F11" s="12"/>
      <c r="G11" s="12"/>
      <c r="H11" s="12"/>
      <c r="I11" s="143"/>
      <c r="J11" s="12"/>
      <c r="K11" s="136" t="s">
        <v>544</v>
      </c>
      <c r="L11" s="12"/>
      <c r="M11" s="12"/>
      <c r="N11" s="143"/>
      <c r="P11" s="136" t="s">
        <v>171</v>
      </c>
      <c r="Q11" s="12"/>
      <c r="R11" s="12"/>
      <c r="S11" s="12">
        <v>1.75</v>
      </c>
      <c r="T11" s="12" t="s">
        <v>665</v>
      </c>
      <c r="U11" s="12"/>
      <c r="V11" s="12"/>
      <c r="W11" s="12"/>
      <c r="X11" s="12"/>
      <c r="Y11" s="12"/>
      <c r="Z11" s="12"/>
      <c r="AA11" s="12"/>
      <c r="AB11" s="12"/>
      <c r="AC11" s="12"/>
      <c r="AD11" s="12"/>
      <c r="AE11" s="12"/>
      <c r="AF11" s="12"/>
      <c r="AG11" s="143"/>
    </row>
    <row r="12" spans="2:33" ht="16.5" x14ac:dyDescent="0.45">
      <c r="B12" s="136"/>
      <c r="C12" s="285"/>
      <c r="D12" s="12"/>
      <c r="E12" s="12"/>
      <c r="F12" s="12"/>
      <c r="G12" s="290"/>
      <c r="H12" s="12"/>
      <c r="I12" s="143"/>
      <c r="J12" s="12"/>
      <c r="K12" s="136"/>
      <c r="L12" s="12">
        <v>0.46</v>
      </c>
      <c r="M12" s="12" t="s">
        <v>638</v>
      </c>
      <c r="N12" s="143"/>
      <c r="P12" s="136" t="s">
        <v>359</v>
      </c>
      <c r="Q12" s="12"/>
      <c r="R12" s="12"/>
      <c r="S12" s="12">
        <v>7.5810100000000004E-13</v>
      </c>
      <c r="T12" s="12" t="s">
        <v>646</v>
      </c>
      <c r="U12" s="12"/>
      <c r="V12" s="12"/>
      <c r="W12" s="12"/>
      <c r="X12" s="12"/>
      <c r="Y12" s="12"/>
      <c r="Z12" s="12"/>
      <c r="AA12" s="12"/>
      <c r="AB12" s="12"/>
      <c r="AC12" s="12"/>
      <c r="AD12" s="12"/>
      <c r="AE12" s="12"/>
      <c r="AF12" s="12"/>
      <c r="AG12" s="143"/>
    </row>
    <row r="13" spans="2:33" ht="16.5" x14ac:dyDescent="0.45">
      <c r="B13" s="289" t="s">
        <v>7</v>
      </c>
      <c r="C13" s="12"/>
      <c r="D13" s="12"/>
      <c r="E13" s="12"/>
      <c r="F13" s="12"/>
      <c r="G13" s="12"/>
      <c r="H13" s="12"/>
      <c r="I13" s="143"/>
      <c r="J13" s="12"/>
      <c r="K13" s="136" t="s">
        <v>545</v>
      </c>
      <c r="L13" s="12"/>
      <c r="M13" s="12"/>
      <c r="N13" s="143"/>
      <c r="P13" s="136" t="s">
        <v>53</v>
      </c>
      <c r="Q13" s="12"/>
      <c r="R13" s="12"/>
      <c r="S13" s="128">
        <v>1.36755726371863</v>
      </c>
      <c r="T13" s="12" t="s">
        <v>647</v>
      </c>
      <c r="U13" s="12"/>
      <c r="V13" s="12"/>
      <c r="W13" s="12"/>
      <c r="X13" s="12"/>
      <c r="Y13" s="12"/>
      <c r="Z13" s="12"/>
      <c r="AA13" s="12"/>
      <c r="AB13" s="12"/>
      <c r="AC13" s="12"/>
      <c r="AD13" s="12"/>
      <c r="AE13" s="12"/>
      <c r="AF13" s="12"/>
      <c r="AG13" s="143"/>
    </row>
    <row r="14" spans="2:33" ht="16.5" x14ac:dyDescent="0.45">
      <c r="B14" s="136">
        <v>1</v>
      </c>
      <c r="C14" s="12" t="s">
        <v>354</v>
      </c>
      <c r="D14" s="12"/>
      <c r="E14" s="12"/>
      <c r="F14" s="12">
        <v>1</v>
      </c>
      <c r="G14" s="55">
        <f>0.006*'Energy &amp; Unit Conversions'!R8</f>
        <v>1.6800000000000003E-3</v>
      </c>
      <c r="H14" s="12"/>
      <c r="I14" s="143"/>
      <c r="J14" s="12"/>
      <c r="K14" s="136"/>
      <c r="L14" s="12">
        <v>0.24</v>
      </c>
      <c r="M14" s="12" t="s">
        <v>638</v>
      </c>
      <c r="N14" s="143"/>
      <c r="P14" s="136"/>
      <c r="Q14" s="12"/>
      <c r="R14" s="12"/>
      <c r="S14" s="128">
        <v>30.3</v>
      </c>
      <c r="T14" s="12" t="s">
        <v>648</v>
      </c>
      <c r="U14" s="12"/>
      <c r="V14" s="12"/>
      <c r="W14" s="12"/>
      <c r="X14" s="12"/>
      <c r="Y14" s="12"/>
      <c r="Z14" s="12"/>
      <c r="AA14" s="12"/>
      <c r="AB14" s="12"/>
      <c r="AC14" s="12"/>
      <c r="AD14" s="12"/>
      <c r="AE14" s="12"/>
      <c r="AF14" s="12"/>
      <c r="AG14" s="143"/>
    </row>
    <row r="15" spans="2:33" ht="16.5" x14ac:dyDescent="0.45">
      <c r="B15" s="136">
        <v>2</v>
      </c>
      <c r="C15" s="12" t="s">
        <v>8</v>
      </c>
      <c r="D15" s="12"/>
      <c r="E15" s="12"/>
      <c r="F15" s="12">
        <v>2</v>
      </c>
      <c r="G15" s="55">
        <f>0.185*'Energy &amp; Unit Conversions'!R8</f>
        <v>5.1800000000000006E-2</v>
      </c>
      <c r="H15" s="12"/>
      <c r="I15" s="143"/>
      <c r="J15" s="12"/>
      <c r="K15" s="136" t="s">
        <v>546</v>
      </c>
      <c r="L15" s="12"/>
      <c r="M15" s="12"/>
      <c r="N15" s="143"/>
      <c r="P15" s="136" t="s">
        <v>369</v>
      </c>
      <c r="Q15" s="12"/>
      <c r="R15" s="12"/>
      <c r="S15" s="12">
        <v>2.94</v>
      </c>
      <c r="T15" s="12" t="s">
        <v>649</v>
      </c>
      <c r="U15" s="12"/>
      <c r="V15" s="12"/>
      <c r="W15" s="12"/>
      <c r="X15" s="12"/>
      <c r="Y15" s="12"/>
      <c r="Z15" s="12"/>
      <c r="AA15" s="12"/>
      <c r="AB15" s="12"/>
      <c r="AC15" s="12"/>
      <c r="AD15" s="12"/>
      <c r="AE15" s="12"/>
      <c r="AF15" s="12"/>
      <c r="AG15" s="143"/>
    </row>
    <row r="16" spans="2:33" ht="16.5" x14ac:dyDescent="0.45">
      <c r="B16" s="136"/>
      <c r="C16" s="12" t="s">
        <v>56</v>
      </c>
      <c r="D16" s="12"/>
      <c r="E16" s="12"/>
      <c r="F16" s="12"/>
      <c r="G16" s="12">
        <v>2</v>
      </c>
      <c r="H16" s="12"/>
      <c r="I16" s="143"/>
      <c r="J16" s="12"/>
      <c r="K16" s="136"/>
      <c r="L16" s="12">
        <v>0.76</v>
      </c>
      <c r="M16" s="12" t="s">
        <v>638</v>
      </c>
      <c r="N16" s="143"/>
      <c r="P16" s="136"/>
      <c r="Q16" s="12"/>
      <c r="R16" s="12"/>
      <c r="S16" s="12"/>
      <c r="T16" s="12"/>
      <c r="U16" s="12"/>
      <c r="V16" s="12"/>
      <c r="W16" s="12"/>
      <c r="X16" s="12"/>
      <c r="Y16" s="12"/>
      <c r="Z16" s="12"/>
      <c r="AA16" s="12"/>
      <c r="AB16" s="12"/>
      <c r="AC16" s="12"/>
      <c r="AD16" s="12"/>
      <c r="AE16" s="12"/>
      <c r="AF16" s="12"/>
      <c r="AG16" s="143"/>
    </row>
    <row r="17" spans="2:33" ht="16.5" x14ac:dyDescent="0.45">
      <c r="B17" s="136"/>
      <c r="C17" s="12" t="str">
        <f>VLOOKUP(G16,$B$14:$G$15,2,FALSE)</f>
        <v>Natural gas industrial boiler</v>
      </c>
      <c r="D17" s="12"/>
      <c r="E17" s="12"/>
      <c r="F17" s="12"/>
      <c r="G17" s="55">
        <f>VLOOKUP(G16,$B$14:$G$15,6,FALSE)</f>
        <v>5.1800000000000006E-2</v>
      </c>
      <c r="H17" s="12" t="s">
        <v>639</v>
      </c>
      <c r="I17" s="143"/>
      <c r="J17" s="12"/>
      <c r="K17" s="136"/>
      <c r="L17" s="12"/>
      <c r="M17" s="12"/>
      <c r="N17" s="143"/>
      <c r="P17" s="136" t="s">
        <v>170</v>
      </c>
      <c r="Q17" s="12"/>
      <c r="R17" s="12"/>
      <c r="S17" s="12"/>
      <c r="T17" s="12"/>
      <c r="U17" s="12"/>
      <c r="V17" s="12"/>
      <c r="W17" s="12"/>
      <c r="X17" s="12"/>
      <c r="Y17" s="12"/>
      <c r="Z17" s="12"/>
      <c r="AA17" s="12"/>
      <c r="AB17" s="12"/>
      <c r="AC17" s="12"/>
      <c r="AD17" s="12"/>
      <c r="AE17" s="12"/>
      <c r="AF17" s="12"/>
      <c r="AG17" s="143"/>
    </row>
    <row r="18" spans="2:33" ht="16.5" x14ac:dyDescent="0.45">
      <c r="B18" s="136"/>
      <c r="C18" s="12"/>
      <c r="D18" s="12"/>
      <c r="E18" s="12"/>
      <c r="F18" s="12"/>
      <c r="G18" s="12"/>
      <c r="H18" s="12"/>
      <c r="I18" s="143"/>
      <c r="J18" s="12"/>
      <c r="K18" s="136" t="s">
        <v>547</v>
      </c>
      <c r="L18" s="12"/>
      <c r="M18" s="12"/>
      <c r="N18" s="143"/>
      <c r="P18" s="136" t="s">
        <v>270</v>
      </c>
      <c r="Q18" s="12"/>
      <c r="R18" s="12"/>
      <c r="S18" s="12">
        <v>0.14588000000000001</v>
      </c>
      <c r="T18" s="12" t="s">
        <v>651</v>
      </c>
      <c r="U18" s="12"/>
      <c r="V18" s="12"/>
      <c r="W18" s="12" t="s">
        <v>272</v>
      </c>
      <c r="X18" s="12"/>
      <c r="Y18" s="12"/>
      <c r="Z18" s="12"/>
      <c r="AA18" s="12"/>
      <c r="AB18" s="12"/>
      <c r="AC18" s="12"/>
      <c r="AD18" s="12"/>
      <c r="AE18" s="12"/>
      <c r="AF18" s="12"/>
      <c r="AG18" s="143"/>
    </row>
    <row r="19" spans="2:33" ht="17.5" x14ac:dyDescent="0.45">
      <c r="B19" s="289" t="s">
        <v>9</v>
      </c>
      <c r="C19" s="12"/>
      <c r="D19" s="12"/>
      <c r="E19" s="12"/>
      <c r="F19" s="12"/>
      <c r="G19" s="12"/>
      <c r="H19" s="12"/>
      <c r="I19" s="143"/>
      <c r="J19" s="12"/>
      <c r="K19" s="136" t="s">
        <v>379</v>
      </c>
      <c r="L19" s="12" t="s">
        <v>543</v>
      </c>
      <c r="M19" s="12"/>
      <c r="N19" s="143"/>
      <c r="P19" s="136" t="s">
        <v>51</v>
      </c>
      <c r="Q19" s="12"/>
      <c r="R19" s="12"/>
      <c r="S19" s="55">
        <v>2.0629400000000002</v>
      </c>
      <c r="T19" s="12" t="s">
        <v>666</v>
      </c>
      <c r="U19" s="12"/>
      <c r="V19" s="12"/>
      <c r="W19" s="12" t="s">
        <v>265</v>
      </c>
      <c r="X19" s="12"/>
      <c r="Y19" s="12"/>
      <c r="Z19" s="12"/>
      <c r="AA19" s="12"/>
      <c r="AB19" s="12"/>
      <c r="AC19" s="12"/>
      <c r="AD19" s="12"/>
      <c r="AE19" s="12"/>
      <c r="AF19" s="12"/>
      <c r="AG19" s="143"/>
    </row>
    <row r="20" spans="2:33" ht="17.5" x14ac:dyDescent="0.45">
      <c r="B20" s="136">
        <v>1</v>
      </c>
      <c r="C20" s="12" t="s">
        <v>414</v>
      </c>
      <c r="D20" s="12"/>
      <c r="E20" s="12"/>
      <c r="F20" s="12">
        <v>1</v>
      </c>
      <c r="G20" s="12">
        <v>2.4E-2</v>
      </c>
      <c r="H20" s="12"/>
      <c r="I20" s="143"/>
      <c r="J20" s="12"/>
      <c r="K20" s="136"/>
      <c r="L20" s="12">
        <v>6.3E-2</v>
      </c>
      <c r="M20" s="12" t="s">
        <v>639</v>
      </c>
      <c r="N20" s="143"/>
      <c r="P20" s="136"/>
      <c r="Q20" s="12"/>
      <c r="R20" s="12"/>
      <c r="S20" s="55">
        <f>S19/0.656</f>
        <v>3.1447256097560978</v>
      </c>
      <c r="T20" s="12" t="s">
        <v>652</v>
      </c>
      <c r="U20" s="12"/>
      <c r="V20" s="12"/>
      <c r="W20" s="12"/>
      <c r="X20" s="12" t="s">
        <v>571</v>
      </c>
      <c r="Y20" s="12"/>
      <c r="Z20" s="12"/>
      <c r="AA20" s="12"/>
      <c r="AB20" s="12"/>
      <c r="AC20" s="12"/>
      <c r="AD20" s="12"/>
      <c r="AE20" s="12"/>
      <c r="AF20" s="12"/>
      <c r="AG20" s="143"/>
    </row>
    <row r="21" spans="2:33" ht="17.5" x14ac:dyDescent="0.45">
      <c r="B21" s="136">
        <v>2</v>
      </c>
      <c r="C21" s="12" t="s">
        <v>10</v>
      </c>
      <c r="D21" s="12"/>
      <c r="E21" s="12"/>
      <c r="F21" s="12">
        <v>2</v>
      </c>
      <c r="G21" s="12">
        <v>0.25</v>
      </c>
      <c r="H21" s="12"/>
      <c r="I21" s="143"/>
      <c r="J21" s="12"/>
      <c r="K21" s="136" t="s">
        <v>548</v>
      </c>
      <c r="L21" s="12"/>
      <c r="M21" s="12"/>
      <c r="N21" s="143"/>
      <c r="P21" s="136" t="s">
        <v>115</v>
      </c>
      <c r="Q21" s="12"/>
      <c r="R21" s="12"/>
      <c r="S21" s="55">
        <v>0.38434000000000001</v>
      </c>
      <c r="T21" s="12" t="s">
        <v>653</v>
      </c>
      <c r="U21" s="12"/>
      <c r="V21" s="12"/>
      <c r="W21" s="12" t="s">
        <v>264</v>
      </c>
      <c r="X21" s="12"/>
      <c r="Y21" s="12"/>
      <c r="Z21" s="12"/>
      <c r="AA21" s="12"/>
      <c r="AB21" s="12"/>
      <c r="AC21" s="12"/>
      <c r="AD21" s="12"/>
      <c r="AE21" s="12"/>
      <c r="AF21" s="12"/>
      <c r="AG21" s="143"/>
    </row>
    <row r="22" spans="2:33" ht="17.5" x14ac:dyDescent="0.45">
      <c r="B22" s="136">
        <v>3</v>
      </c>
      <c r="C22" s="12" t="s">
        <v>11</v>
      </c>
      <c r="D22" s="12"/>
      <c r="E22" s="12"/>
      <c r="F22" s="12">
        <v>3</v>
      </c>
      <c r="G22" s="12">
        <v>0.55000000000000004</v>
      </c>
      <c r="H22" s="12"/>
      <c r="I22" s="143"/>
      <c r="J22" s="12"/>
      <c r="K22" s="136" t="s">
        <v>549</v>
      </c>
      <c r="L22" s="12"/>
      <c r="M22" s="12"/>
      <c r="N22" s="143"/>
      <c r="P22" s="136"/>
      <c r="Q22" s="12"/>
      <c r="R22" s="12"/>
      <c r="S22" s="55">
        <f>S21/1.4</f>
        <v>0.27452857142857146</v>
      </c>
      <c r="T22" s="12" t="s">
        <v>654</v>
      </c>
      <c r="U22" s="12"/>
      <c r="V22" s="12"/>
      <c r="W22" s="12"/>
      <c r="X22" s="12" t="s">
        <v>572</v>
      </c>
      <c r="Y22" s="12"/>
      <c r="Z22" s="12"/>
      <c r="AA22" s="12"/>
      <c r="AB22" s="12"/>
      <c r="AC22" s="12"/>
      <c r="AD22" s="12"/>
      <c r="AE22" s="12"/>
      <c r="AF22" s="12"/>
      <c r="AG22" s="143"/>
    </row>
    <row r="23" spans="2:33" ht="16.5" x14ac:dyDescent="0.45">
      <c r="B23" s="136"/>
      <c r="C23" s="12" t="s">
        <v>56</v>
      </c>
      <c r="D23" s="12"/>
      <c r="E23" s="12"/>
      <c r="F23" s="12"/>
      <c r="G23" s="12">
        <v>2</v>
      </c>
      <c r="H23" s="12"/>
      <c r="I23" s="143"/>
      <c r="J23" s="12"/>
      <c r="K23" s="136" t="s">
        <v>667</v>
      </c>
      <c r="L23" s="12"/>
      <c r="M23" s="12"/>
      <c r="N23" s="143"/>
      <c r="P23" s="136" t="s">
        <v>255</v>
      </c>
      <c r="Q23" s="12"/>
      <c r="R23" s="12"/>
      <c r="S23" s="55">
        <v>0.11907</v>
      </c>
      <c r="T23" s="12" t="s">
        <v>655</v>
      </c>
      <c r="U23" s="12"/>
      <c r="V23" s="12"/>
      <c r="W23" s="12" t="s">
        <v>258</v>
      </c>
      <c r="X23" s="12"/>
      <c r="Y23" s="12"/>
      <c r="Z23" s="12"/>
      <c r="AA23" s="12"/>
      <c r="AB23" s="12"/>
      <c r="AC23" s="12"/>
      <c r="AD23" s="12"/>
      <c r="AE23" s="12"/>
      <c r="AF23" s="12"/>
      <c r="AG23" s="143"/>
    </row>
    <row r="24" spans="2:33" ht="16.5" x14ac:dyDescent="0.45">
      <c r="B24" s="136"/>
      <c r="C24" s="12" t="str">
        <f>VLOOKUP(G23,$B$20:$G$22,2,FALSE)</f>
        <v>Natural gas industrial furnace</v>
      </c>
      <c r="D24" s="12"/>
      <c r="E24" s="12"/>
      <c r="F24" s="12"/>
      <c r="G24" s="12">
        <f>VLOOKUP(G23,$B$20:$G$22,6,FALSE)</f>
        <v>0.25</v>
      </c>
      <c r="H24" s="12" t="s">
        <v>638</v>
      </c>
      <c r="I24" s="143"/>
      <c r="J24" s="12"/>
      <c r="K24" s="136" t="s">
        <v>550</v>
      </c>
      <c r="L24" s="12"/>
      <c r="M24" s="12"/>
      <c r="N24" s="143"/>
      <c r="P24" s="136"/>
      <c r="Q24" s="12"/>
      <c r="R24" s="12"/>
      <c r="S24" s="55">
        <f>S23/17.3</f>
        <v>6.8826589595375716E-3</v>
      </c>
      <c r="T24" s="12" t="s">
        <v>656</v>
      </c>
      <c r="U24" s="12"/>
      <c r="V24" s="12"/>
      <c r="W24" s="12"/>
      <c r="X24" s="12" t="s">
        <v>259</v>
      </c>
      <c r="Y24" s="12"/>
      <c r="Z24" s="12" t="s">
        <v>260</v>
      </c>
      <c r="AA24" s="12"/>
      <c r="AB24" s="12"/>
      <c r="AC24" s="12"/>
      <c r="AD24" s="12"/>
      <c r="AE24" s="12"/>
      <c r="AF24" s="12"/>
      <c r="AG24" s="143"/>
    </row>
    <row r="25" spans="2:33" ht="16.5" x14ac:dyDescent="0.45">
      <c r="B25" s="136"/>
      <c r="C25" s="12"/>
      <c r="D25" s="12"/>
      <c r="E25" s="12"/>
      <c r="F25" s="12"/>
      <c r="G25" s="12"/>
      <c r="H25" s="12"/>
      <c r="I25" s="143"/>
      <c r="J25" s="12"/>
      <c r="K25" s="136"/>
      <c r="L25" s="12"/>
      <c r="M25" s="12"/>
      <c r="N25" s="143"/>
      <c r="P25" s="136" t="s">
        <v>256</v>
      </c>
      <c r="Q25" s="12"/>
      <c r="R25" s="12"/>
      <c r="S25" s="55">
        <v>0.69023999999999996</v>
      </c>
      <c r="T25" s="12" t="s">
        <v>657</v>
      </c>
      <c r="U25" s="12"/>
      <c r="V25" s="12"/>
      <c r="W25" s="12" t="s">
        <v>261</v>
      </c>
      <c r="X25" s="12"/>
      <c r="Y25" s="12"/>
      <c r="Z25" s="12"/>
      <c r="AA25" s="12"/>
      <c r="AB25" s="12"/>
      <c r="AC25" s="12"/>
      <c r="AD25" s="12"/>
      <c r="AE25" s="12"/>
      <c r="AF25" s="12"/>
      <c r="AG25" s="143"/>
    </row>
    <row r="26" spans="2:33" ht="16.5" x14ac:dyDescent="0.45">
      <c r="B26" s="289" t="s">
        <v>12</v>
      </c>
      <c r="C26" s="12"/>
      <c r="D26" s="12"/>
      <c r="E26" s="12"/>
      <c r="F26" s="12"/>
      <c r="G26" s="12"/>
      <c r="H26" s="12"/>
      <c r="I26" s="143"/>
      <c r="J26" s="12"/>
      <c r="K26" s="136"/>
      <c r="L26" s="12"/>
      <c r="M26" s="12"/>
      <c r="N26" s="143"/>
      <c r="P26" s="136"/>
      <c r="Q26" s="12"/>
      <c r="R26" s="12"/>
      <c r="S26" s="55">
        <f>S25/39</f>
        <v>1.7698461538461538E-2</v>
      </c>
      <c r="T26" s="12" t="s">
        <v>658</v>
      </c>
      <c r="U26" s="12"/>
      <c r="V26" s="12"/>
      <c r="W26" s="12"/>
      <c r="X26" s="12" t="s">
        <v>262</v>
      </c>
      <c r="Y26" s="12"/>
      <c r="Z26" s="12" t="s">
        <v>260</v>
      </c>
      <c r="AA26" s="12"/>
      <c r="AB26" s="12"/>
      <c r="AC26" s="12"/>
      <c r="AD26" s="12"/>
      <c r="AE26" s="12"/>
      <c r="AF26" s="12"/>
      <c r="AG26" s="143"/>
    </row>
    <row r="27" spans="2:33" x14ac:dyDescent="0.35">
      <c r="B27" s="136">
        <v>1</v>
      </c>
      <c r="C27" s="12" t="s">
        <v>415</v>
      </c>
      <c r="D27" s="12"/>
      <c r="E27" s="12"/>
      <c r="F27" s="12">
        <v>1</v>
      </c>
      <c r="G27" s="12">
        <v>0.98399999999999999</v>
      </c>
      <c r="H27" s="12"/>
      <c r="I27" s="143"/>
      <c r="J27" s="12"/>
      <c r="K27" s="136"/>
      <c r="L27" s="12"/>
      <c r="M27" s="12"/>
      <c r="N27" s="143"/>
      <c r="P27" s="136"/>
      <c r="Q27" s="12"/>
      <c r="R27" s="12"/>
      <c r="S27" s="12"/>
      <c r="T27" s="12"/>
      <c r="U27" s="12"/>
      <c r="V27" s="12"/>
      <c r="W27" s="12"/>
      <c r="X27" s="12"/>
      <c r="Y27" s="12"/>
      <c r="Z27" s="12"/>
      <c r="AA27" s="12"/>
      <c r="AB27" s="12"/>
      <c r="AC27" s="12"/>
      <c r="AD27" s="12"/>
      <c r="AE27" s="12"/>
      <c r="AF27" s="12"/>
      <c r="AG27" s="143"/>
    </row>
    <row r="28" spans="2:33" x14ac:dyDescent="0.35">
      <c r="B28" s="136">
        <v>2</v>
      </c>
      <c r="C28" s="12" t="s">
        <v>13</v>
      </c>
      <c r="D28" s="12"/>
      <c r="E28" s="12"/>
      <c r="F28" s="12">
        <v>2</v>
      </c>
      <c r="G28" s="12">
        <v>10.62</v>
      </c>
      <c r="H28" s="12"/>
      <c r="I28" s="143"/>
      <c r="J28" s="12"/>
      <c r="K28" s="136"/>
      <c r="L28" s="12"/>
      <c r="M28" s="12"/>
      <c r="N28" s="143"/>
      <c r="P28" s="136"/>
      <c r="Q28" s="12"/>
      <c r="R28" s="12"/>
      <c r="S28" s="12"/>
      <c r="T28" s="12"/>
      <c r="U28" s="12"/>
      <c r="V28" s="12"/>
      <c r="W28" s="12"/>
      <c r="X28" s="12"/>
      <c r="Y28" s="12"/>
      <c r="Z28" s="12"/>
      <c r="AA28" s="12"/>
      <c r="AB28" s="12"/>
      <c r="AC28" s="12"/>
      <c r="AD28" s="12"/>
      <c r="AE28" s="12"/>
      <c r="AF28" s="12"/>
      <c r="AG28" s="143"/>
    </row>
    <row r="29" spans="2:33" ht="15.5" x14ac:dyDescent="0.35">
      <c r="B29" s="136">
        <v>3</v>
      </c>
      <c r="C29" s="12" t="s">
        <v>14</v>
      </c>
      <c r="D29" s="12"/>
      <c r="E29" s="12"/>
      <c r="F29" s="12">
        <v>3</v>
      </c>
      <c r="G29" s="12">
        <v>24.2</v>
      </c>
      <c r="H29" s="12"/>
      <c r="I29" s="143"/>
      <c r="J29" s="12"/>
      <c r="K29" s="136"/>
      <c r="L29" s="12"/>
      <c r="M29" s="12"/>
      <c r="N29" s="143"/>
      <c r="P29" s="136"/>
      <c r="Q29" s="83"/>
      <c r="R29" s="291"/>
      <c r="S29" s="292"/>
      <c r="T29" s="12"/>
      <c r="U29" s="12"/>
      <c r="V29" s="12"/>
      <c r="W29" s="12"/>
      <c r="X29" s="12"/>
      <c r="Y29" s="12"/>
      <c r="Z29" s="12"/>
      <c r="AA29" s="12"/>
      <c r="AB29" s="12"/>
      <c r="AC29" s="12"/>
      <c r="AD29" s="12"/>
      <c r="AE29" s="12"/>
      <c r="AF29" s="12"/>
      <c r="AG29" s="143"/>
    </row>
    <row r="30" spans="2:33" ht="15.5" x14ac:dyDescent="0.35">
      <c r="B30" s="136"/>
      <c r="C30" s="12" t="s">
        <v>56</v>
      </c>
      <c r="D30" s="12"/>
      <c r="E30" s="12"/>
      <c r="F30" s="12"/>
      <c r="G30" s="12">
        <v>2</v>
      </c>
      <c r="H30" s="12"/>
      <c r="I30" s="143"/>
      <c r="J30" s="12"/>
      <c r="K30" s="136"/>
      <c r="L30" s="12"/>
      <c r="M30" s="12"/>
      <c r="N30" s="143"/>
      <c r="P30" s="136"/>
      <c r="Q30" s="72"/>
      <c r="R30" s="291"/>
      <c r="S30" s="293"/>
      <c r="T30" s="12"/>
      <c r="U30" s="12"/>
      <c r="V30" s="12"/>
      <c r="W30" s="12"/>
      <c r="X30" s="12"/>
      <c r="Y30" s="12"/>
      <c r="Z30" s="12"/>
      <c r="AA30" s="12"/>
      <c r="AB30" s="12"/>
      <c r="AC30" s="12"/>
      <c r="AD30" s="12"/>
      <c r="AE30" s="12"/>
      <c r="AF30" s="12"/>
      <c r="AG30" s="143"/>
    </row>
    <row r="31" spans="2:33" ht="16.5" x14ac:dyDescent="0.45">
      <c r="B31" s="136"/>
      <c r="C31" s="12" t="str">
        <f>VLOOKUP(G30,$B$27:$G$29,2,FALSE)</f>
        <v>Steam methane reforming</v>
      </c>
      <c r="D31" s="12"/>
      <c r="E31" s="12"/>
      <c r="F31" s="12"/>
      <c r="G31" s="12">
        <f>VLOOKUP(G30,$B$27:$G$29,6,FALSE)</f>
        <v>10.62</v>
      </c>
      <c r="H31" s="12" t="s">
        <v>640</v>
      </c>
      <c r="I31" s="143"/>
      <c r="J31" s="12"/>
      <c r="K31" s="136"/>
      <c r="L31" s="12"/>
      <c r="M31" s="12"/>
      <c r="N31" s="143"/>
      <c r="P31" s="136" t="s">
        <v>471</v>
      </c>
      <c r="Q31" s="12"/>
      <c r="R31" s="12"/>
      <c r="S31" s="12" t="s">
        <v>45</v>
      </c>
      <c r="T31" s="12"/>
      <c r="U31" s="12"/>
      <c r="V31" s="12"/>
      <c r="W31" s="12"/>
      <c r="X31" s="12"/>
      <c r="Y31" s="12"/>
      <c r="Z31" s="12"/>
      <c r="AA31" s="12"/>
      <c r="AB31" s="12"/>
      <c r="AC31" s="12"/>
      <c r="AD31" s="12"/>
      <c r="AE31" s="12"/>
      <c r="AF31" s="12"/>
      <c r="AG31" s="143"/>
    </row>
    <row r="32" spans="2:33" x14ac:dyDescent="0.35">
      <c r="B32" s="136"/>
      <c r="C32" s="12"/>
      <c r="D32" s="12"/>
      <c r="E32" s="12"/>
      <c r="F32" s="12"/>
      <c r="G32" s="12"/>
      <c r="H32" s="12"/>
      <c r="I32" s="143"/>
      <c r="J32" s="12"/>
      <c r="K32" s="136"/>
      <c r="L32" s="12"/>
      <c r="M32" s="12"/>
      <c r="N32" s="143"/>
      <c r="P32" s="136" t="s">
        <v>85</v>
      </c>
      <c r="Q32" s="12" t="s">
        <v>35</v>
      </c>
      <c r="S32" s="294"/>
      <c r="T32" s="12"/>
      <c r="U32" s="12"/>
      <c r="V32" s="12"/>
      <c r="W32" s="12"/>
      <c r="X32" s="12"/>
      <c r="Y32" s="12"/>
      <c r="Z32" s="12"/>
      <c r="AA32" s="12"/>
      <c r="AB32" s="12"/>
      <c r="AC32" s="12"/>
      <c r="AD32" s="12"/>
      <c r="AE32" s="12"/>
      <c r="AF32" s="12"/>
      <c r="AG32" s="143"/>
    </row>
    <row r="33" spans="2:33" ht="17.5" x14ac:dyDescent="0.35">
      <c r="B33" s="289" t="s">
        <v>15</v>
      </c>
      <c r="C33" s="12"/>
      <c r="D33" s="12"/>
      <c r="E33" s="12"/>
      <c r="F33" s="12"/>
      <c r="G33" s="12"/>
      <c r="H33" s="12"/>
      <c r="I33" s="143"/>
      <c r="J33" s="12"/>
      <c r="K33" s="136"/>
      <c r="L33" s="12"/>
      <c r="M33" s="12"/>
      <c r="N33" s="143"/>
      <c r="P33" s="136" t="s">
        <v>472</v>
      </c>
      <c r="Q33" s="396" t="s">
        <v>659</v>
      </c>
      <c r="S33" s="12">
        <v>0.82</v>
      </c>
      <c r="U33" s="12"/>
      <c r="V33" s="12"/>
      <c r="W33" s="12"/>
      <c r="X33" s="12"/>
      <c r="Y33" s="12"/>
      <c r="Z33" s="12"/>
      <c r="AA33" s="12"/>
      <c r="AB33" s="12"/>
      <c r="AC33" s="12"/>
      <c r="AD33" s="12"/>
      <c r="AE33" s="12"/>
      <c r="AF33" s="12"/>
      <c r="AG33" s="143"/>
    </row>
    <row r="34" spans="2:33" ht="15" thickBot="1" x14ac:dyDescent="0.4">
      <c r="B34" s="136">
        <v>1</v>
      </c>
      <c r="C34" s="12" t="s">
        <v>577</v>
      </c>
      <c r="D34" s="12"/>
      <c r="E34" s="12"/>
      <c r="F34" s="12">
        <v>1</v>
      </c>
      <c r="G34" s="12">
        <v>7.0000000000000001E-3</v>
      </c>
      <c r="H34" s="12"/>
      <c r="I34" s="143"/>
      <c r="J34" s="12"/>
      <c r="K34" s="136"/>
      <c r="L34" s="12"/>
      <c r="M34" s="12"/>
      <c r="N34" s="143"/>
      <c r="P34" s="147"/>
      <c r="Q34" s="146"/>
      <c r="R34" s="146"/>
      <c r="S34" s="146"/>
      <c r="T34" s="146"/>
      <c r="U34" s="146"/>
      <c r="V34" s="146"/>
      <c r="W34" s="146"/>
      <c r="X34" s="146"/>
      <c r="Y34" s="146"/>
      <c r="Z34" s="146"/>
      <c r="AA34" s="146"/>
      <c r="AB34" s="146"/>
      <c r="AC34" s="146"/>
      <c r="AD34" s="146"/>
      <c r="AE34" s="146"/>
      <c r="AF34" s="146"/>
      <c r="AG34" s="144"/>
    </row>
    <row r="35" spans="2:33" x14ac:dyDescent="0.35">
      <c r="B35" s="136">
        <v>2</v>
      </c>
      <c r="C35" s="12" t="s">
        <v>575</v>
      </c>
      <c r="D35" s="12"/>
      <c r="E35" s="12"/>
      <c r="F35" s="12">
        <v>2</v>
      </c>
      <c r="G35" s="12">
        <v>0.18</v>
      </c>
      <c r="H35" s="12"/>
      <c r="I35" s="143"/>
      <c r="J35" s="12"/>
      <c r="K35" s="136"/>
      <c r="L35" s="12"/>
      <c r="M35" s="12"/>
      <c r="N35" s="143"/>
    </row>
    <row r="36" spans="2:33" x14ac:dyDescent="0.35">
      <c r="B36" s="136">
        <v>3</v>
      </c>
      <c r="C36" s="12" t="s">
        <v>576</v>
      </c>
      <c r="D36" s="12"/>
      <c r="E36" s="12"/>
      <c r="F36" s="12">
        <v>3</v>
      </c>
      <c r="G36" s="12">
        <v>0.82</v>
      </c>
      <c r="H36" s="12"/>
      <c r="I36" s="143"/>
      <c r="J36" s="12"/>
      <c r="K36" s="136"/>
      <c r="L36" s="12"/>
      <c r="M36" s="12"/>
      <c r="N36" s="143"/>
    </row>
    <row r="37" spans="2:33" x14ac:dyDescent="0.35">
      <c r="B37" s="136"/>
      <c r="C37" s="12" t="s">
        <v>56</v>
      </c>
      <c r="D37" s="12"/>
      <c r="E37" s="12"/>
      <c r="F37" s="12"/>
      <c r="G37" s="12">
        <v>2</v>
      </c>
      <c r="H37" s="12"/>
      <c r="I37" s="143"/>
      <c r="J37" s="12"/>
      <c r="K37" s="136"/>
      <c r="L37" s="12"/>
      <c r="M37" s="12"/>
      <c r="N37" s="143"/>
    </row>
    <row r="38" spans="2:33" ht="16.5" x14ac:dyDescent="0.45">
      <c r="B38" s="136"/>
      <c r="C38" s="12" t="str">
        <f>VLOOKUP(G37,$B$34:$G$36,2,FALSE)</f>
        <v>Natural gas power plant</v>
      </c>
      <c r="D38" s="12"/>
      <c r="E38" s="12"/>
      <c r="F38" s="12"/>
      <c r="G38" s="12">
        <f>VLOOKUP(G37,$B$34:$G$36,6,FALSE)</f>
        <v>0.18</v>
      </c>
      <c r="H38" s="12" t="s">
        <v>641</v>
      </c>
      <c r="I38" s="143"/>
      <c r="J38" s="12"/>
      <c r="K38" s="136"/>
      <c r="L38" s="12"/>
      <c r="M38" s="12"/>
      <c r="N38" s="143"/>
      <c r="O38" s="12"/>
    </row>
    <row r="39" spans="2:33" ht="15" thickBot="1" x14ac:dyDescent="0.4">
      <c r="B39" s="147"/>
      <c r="C39" s="146"/>
      <c r="D39" s="146"/>
      <c r="E39" s="146"/>
      <c r="F39" s="146"/>
      <c r="G39" s="146"/>
      <c r="H39" s="146"/>
      <c r="I39" s="144"/>
      <c r="J39" s="12"/>
      <c r="K39" s="147"/>
      <c r="L39" s="146"/>
      <c r="M39" s="146"/>
      <c r="N39" s="144"/>
    </row>
    <row r="40" spans="2:33" x14ac:dyDescent="0.35">
      <c r="J40" s="12"/>
    </row>
    <row r="41" spans="2:33" x14ac:dyDescent="0.35">
      <c r="J41" s="12"/>
    </row>
    <row r="42" spans="2:33" x14ac:dyDescent="0.35">
      <c r="J42" s="12"/>
    </row>
  </sheetData>
  <mergeCells count="4">
    <mergeCell ref="B4:I4"/>
    <mergeCell ref="K4:N4"/>
    <mergeCell ref="B1:G2"/>
    <mergeCell ref="P4:AG4"/>
  </mergeCells>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F7FC0-AF6E-424B-9C41-04EA3EC265E9}">
  <sheetPr codeName="Sheet7">
    <tabColor theme="9"/>
  </sheetPr>
  <dimension ref="B2:S18"/>
  <sheetViews>
    <sheetView workbookViewId="0">
      <selection activeCell="B2" sqref="B2:G3"/>
    </sheetView>
  </sheetViews>
  <sheetFormatPr defaultColWidth="8.81640625" defaultRowHeight="14.5" x14ac:dyDescent="0.35"/>
  <sheetData>
    <row r="2" spans="2:19" x14ac:dyDescent="0.35">
      <c r="B2" s="498" t="s">
        <v>2</v>
      </c>
      <c r="C2" s="498"/>
      <c r="D2" s="498"/>
      <c r="E2" s="498"/>
      <c r="F2" s="498"/>
      <c r="G2" s="498"/>
    </row>
    <row r="3" spans="2:19" x14ac:dyDescent="0.35">
      <c r="B3" s="498"/>
      <c r="C3" s="498"/>
      <c r="D3" s="498"/>
      <c r="E3" s="498"/>
      <c r="F3" s="498"/>
      <c r="G3" s="498"/>
    </row>
    <row r="6" spans="2:19" x14ac:dyDescent="0.35">
      <c r="B6" s="16" t="s">
        <v>109</v>
      </c>
      <c r="C6" s="16"/>
      <c r="D6" s="16"/>
      <c r="E6" s="16"/>
      <c r="F6" s="16"/>
      <c r="G6" s="16"/>
      <c r="H6" s="16"/>
      <c r="I6" s="16"/>
      <c r="J6" s="16"/>
      <c r="K6" s="16"/>
      <c r="O6" t="s">
        <v>122</v>
      </c>
    </row>
    <row r="7" spans="2:19" x14ac:dyDescent="0.35">
      <c r="E7" t="s">
        <v>110</v>
      </c>
      <c r="F7" t="s">
        <v>111</v>
      </c>
      <c r="G7" t="s">
        <v>112</v>
      </c>
    </row>
    <row r="8" spans="2:19" x14ac:dyDescent="0.35">
      <c r="E8" t="s">
        <v>22</v>
      </c>
      <c r="F8" t="s">
        <v>22</v>
      </c>
      <c r="O8">
        <v>1</v>
      </c>
      <c r="P8" t="s">
        <v>123</v>
      </c>
      <c r="Q8" t="s">
        <v>121</v>
      </c>
      <c r="R8">
        <v>0.28000000000000003</v>
      </c>
      <c r="S8" t="s">
        <v>43</v>
      </c>
    </row>
    <row r="9" spans="2:19" x14ac:dyDescent="0.35">
      <c r="B9" t="s">
        <v>113</v>
      </c>
      <c r="E9">
        <v>120.21</v>
      </c>
      <c r="F9">
        <v>142.18</v>
      </c>
      <c r="G9" t="s">
        <v>114</v>
      </c>
      <c r="O9">
        <v>1</v>
      </c>
      <c r="P9" t="s">
        <v>152</v>
      </c>
      <c r="Q9" t="s">
        <v>153</v>
      </c>
      <c r="R9">
        <v>1.0550558999999999E-3</v>
      </c>
      <c r="S9" t="s">
        <v>123</v>
      </c>
    </row>
    <row r="10" spans="2:19" x14ac:dyDescent="0.35">
      <c r="B10" t="s">
        <v>51</v>
      </c>
      <c r="E10">
        <v>50</v>
      </c>
      <c r="F10">
        <v>55.55</v>
      </c>
      <c r="G10" t="s">
        <v>668</v>
      </c>
      <c r="O10">
        <v>1</v>
      </c>
      <c r="P10" t="s">
        <v>154</v>
      </c>
      <c r="Q10" t="s">
        <v>153</v>
      </c>
      <c r="R10">
        <v>3.7854099999999999E-3</v>
      </c>
      <c r="S10" t="s">
        <v>155</v>
      </c>
    </row>
    <row r="11" spans="2:19" x14ac:dyDescent="0.35">
      <c r="B11" t="s">
        <v>115</v>
      </c>
      <c r="E11">
        <v>47.140999999999998</v>
      </c>
      <c r="F11">
        <v>52.225000000000001</v>
      </c>
      <c r="G11" t="s">
        <v>114</v>
      </c>
    </row>
    <row r="12" spans="2:19" x14ac:dyDescent="0.35">
      <c r="B12" t="s">
        <v>116</v>
      </c>
      <c r="E12">
        <v>43.448</v>
      </c>
      <c r="F12">
        <v>46.536000000000001</v>
      </c>
      <c r="G12" t="s">
        <v>114</v>
      </c>
    </row>
    <row r="13" spans="2:19" x14ac:dyDescent="0.35">
      <c r="B13" t="s">
        <v>117</v>
      </c>
      <c r="E13">
        <v>42.790999999999997</v>
      </c>
      <c r="F13">
        <v>45.765999999999998</v>
      </c>
      <c r="G13" t="s">
        <v>114</v>
      </c>
    </row>
    <row r="14" spans="2:19" x14ac:dyDescent="0.35">
      <c r="B14" t="s">
        <v>21</v>
      </c>
      <c r="E14">
        <v>43.247</v>
      </c>
      <c r="F14">
        <v>45.470999999999997</v>
      </c>
      <c r="G14" t="s">
        <v>114</v>
      </c>
    </row>
    <row r="15" spans="2:19" x14ac:dyDescent="0.35">
      <c r="B15" t="s">
        <v>53</v>
      </c>
      <c r="E15">
        <v>20.094000000000001</v>
      </c>
      <c r="F15">
        <v>22.884</v>
      </c>
      <c r="G15" t="s">
        <v>114</v>
      </c>
    </row>
    <row r="16" spans="2:19" x14ac:dyDescent="0.35">
      <c r="B16" t="s">
        <v>118</v>
      </c>
      <c r="E16">
        <v>28.4</v>
      </c>
      <c r="G16" t="s">
        <v>119</v>
      </c>
    </row>
    <row r="17" spans="2:7" x14ac:dyDescent="0.35">
      <c r="B17" t="s">
        <v>50</v>
      </c>
      <c r="E17">
        <v>24.558</v>
      </c>
      <c r="F17">
        <v>27.507999999999999</v>
      </c>
      <c r="G17" t="s">
        <v>120</v>
      </c>
    </row>
    <row r="18" spans="2:7" x14ac:dyDescent="0.35">
      <c r="B18" t="s">
        <v>140</v>
      </c>
      <c r="E18" s="59">
        <f>(76330*R9/R10)/789</f>
        <v>26.963781832835199</v>
      </c>
      <c r="G18" t="s">
        <v>156</v>
      </c>
    </row>
  </sheetData>
  <mergeCells count="1">
    <mergeCell ref="B2:G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FC1BB7-A7FB-4F45-99DB-60906EE2DB2D}">
  <sheetPr codeName="Sheet6">
    <tabColor theme="9"/>
  </sheetPr>
  <dimension ref="B2:G15"/>
  <sheetViews>
    <sheetView workbookViewId="0">
      <selection activeCell="B2" sqref="B2:G3"/>
    </sheetView>
  </sheetViews>
  <sheetFormatPr defaultColWidth="8.81640625" defaultRowHeight="14.5" x14ac:dyDescent="0.35"/>
  <cols>
    <col min="2" max="2" width="23.6328125" customWidth="1"/>
    <col min="3" max="3" width="11.81640625" bestFit="1" customWidth="1"/>
    <col min="6" max="6" width="10.08984375" customWidth="1"/>
  </cols>
  <sheetData>
    <row r="2" spans="2:7" x14ac:dyDescent="0.35">
      <c r="B2" s="498" t="s">
        <v>3</v>
      </c>
      <c r="C2" s="498"/>
      <c r="D2" s="498"/>
      <c r="E2" s="498"/>
      <c r="F2" s="498"/>
      <c r="G2" s="498"/>
    </row>
    <row r="3" spans="2:7" x14ac:dyDescent="0.35">
      <c r="B3" s="498"/>
      <c r="C3" s="498"/>
      <c r="D3" s="498"/>
      <c r="E3" s="498"/>
      <c r="F3" s="498"/>
      <c r="G3" s="498"/>
    </row>
    <row r="6" spans="2:7" ht="15.5" x14ac:dyDescent="0.35">
      <c r="B6" s="91" t="s">
        <v>85</v>
      </c>
      <c r="C6" s="91" t="s">
        <v>205</v>
      </c>
      <c r="F6" t="s">
        <v>379</v>
      </c>
    </row>
    <row r="7" spans="2:7" x14ac:dyDescent="0.35">
      <c r="B7" t="s">
        <v>206</v>
      </c>
      <c r="C7" s="76">
        <v>4.4000000000000004</v>
      </c>
      <c r="F7" t="s">
        <v>535</v>
      </c>
    </row>
    <row r="8" spans="2:7" x14ac:dyDescent="0.35">
      <c r="B8" t="s">
        <v>140</v>
      </c>
      <c r="C8" s="76">
        <f>2.5774*10^10*0.79*0.003785/(10^12)</f>
        <v>7.7068126100000004E-5</v>
      </c>
      <c r="F8" t="s">
        <v>538</v>
      </c>
    </row>
    <row r="9" spans="2:7" x14ac:dyDescent="0.35">
      <c r="B9" t="s">
        <v>55</v>
      </c>
      <c r="C9" s="76">
        <v>1.1499999999999999</v>
      </c>
      <c r="F9" t="s">
        <v>533</v>
      </c>
    </row>
    <row r="10" spans="2:7" x14ac:dyDescent="0.35">
      <c r="B10" t="s">
        <v>51</v>
      </c>
      <c r="C10" s="76">
        <v>2.72</v>
      </c>
      <c r="F10" t="s">
        <v>533</v>
      </c>
    </row>
    <row r="11" spans="2:7" x14ac:dyDescent="0.35">
      <c r="B11" t="s">
        <v>53</v>
      </c>
      <c r="C11" s="76">
        <v>7.0000000000000007E-2</v>
      </c>
      <c r="F11" t="s">
        <v>533</v>
      </c>
    </row>
    <row r="12" spans="2:7" x14ac:dyDescent="0.35">
      <c r="C12" s="76"/>
    </row>
    <row r="13" spans="2:7" x14ac:dyDescent="0.35">
      <c r="C13" s="76"/>
    </row>
    <row r="14" spans="2:7" x14ac:dyDescent="0.35">
      <c r="C14" s="76"/>
    </row>
    <row r="15" spans="2:7" x14ac:dyDescent="0.35">
      <c r="C15" s="76"/>
    </row>
  </sheetData>
  <mergeCells count="1">
    <mergeCell ref="B2:G3"/>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1DA955-3A3E-42BC-B992-90048E24BA23}">
  <sheetPr codeName="Sheet8">
    <tabColor theme="9"/>
  </sheetPr>
  <dimension ref="B2:G19"/>
  <sheetViews>
    <sheetView workbookViewId="0">
      <selection activeCell="B2" sqref="B2:G3"/>
    </sheetView>
  </sheetViews>
  <sheetFormatPr defaultColWidth="8.81640625" defaultRowHeight="14.5" x14ac:dyDescent="0.35"/>
  <cols>
    <col min="5" max="5" width="19.81640625" bestFit="1" customWidth="1"/>
  </cols>
  <sheetData>
    <row r="2" spans="2:7" x14ac:dyDescent="0.35">
      <c r="B2" s="498" t="s">
        <v>1</v>
      </c>
      <c r="C2" s="498"/>
      <c r="D2" s="498"/>
      <c r="E2" s="498"/>
      <c r="F2" s="498"/>
      <c r="G2" s="498"/>
    </row>
    <row r="3" spans="2:7" x14ac:dyDescent="0.35">
      <c r="B3" s="498"/>
      <c r="C3" s="498"/>
      <c r="D3" s="498"/>
      <c r="E3" s="498"/>
      <c r="F3" s="498"/>
      <c r="G3" s="498"/>
    </row>
    <row r="7" spans="2:7" x14ac:dyDescent="0.35">
      <c r="B7" s="3" t="s">
        <v>17</v>
      </c>
      <c r="C7" s="4"/>
      <c r="D7" s="4">
        <v>2</v>
      </c>
      <c r="E7" s="5" t="s">
        <v>18</v>
      </c>
    </row>
    <row r="8" spans="2:7" x14ac:dyDescent="0.35">
      <c r="B8" s="6"/>
      <c r="C8" s="7"/>
      <c r="D8" s="8">
        <f>2/16</f>
        <v>0.125</v>
      </c>
      <c r="E8" s="14" t="s">
        <v>19</v>
      </c>
    </row>
    <row r="11" spans="2:7" x14ac:dyDescent="0.35">
      <c r="B11" s="3" t="s">
        <v>96</v>
      </c>
      <c r="C11" s="4"/>
      <c r="D11" s="4">
        <v>1</v>
      </c>
      <c r="E11" s="5" t="s">
        <v>97</v>
      </c>
    </row>
    <row r="12" spans="2:7" x14ac:dyDescent="0.35">
      <c r="B12" s="11"/>
      <c r="C12" s="12"/>
      <c r="D12" s="12"/>
      <c r="E12" s="25"/>
    </row>
    <row r="13" spans="2:7" x14ac:dyDescent="0.35">
      <c r="B13" s="6" t="s">
        <v>99</v>
      </c>
      <c r="C13" s="7"/>
      <c r="D13" s="7">
        <v>2.2999999999999998</v>
      </c>
      <c r="E13" s="26" t="s">
        <v>100</v>
      </c>
    </row>
    <row r="16" spans="2:7" x14ac:dyDescent="0.35">
      <c r="B16" s="3" t="s">
        <v>20</v>
      </c>
      <c r="C16" s="4"/>
      <c r="D16" s="9"/>
      <c r="E16" s="10"/>
    </row>
    <row r="17" spans="2:5" x14ac:dyDescent="0.35">
      <c r="B17" s="11"/>
      <c r="C17" s="12" t="s">
        <v>21</v>
      </c>
      <c r="D17" s="12">
        <v>43.247</v>
      </c>
      <c r="E17" s="13" t="s">
        <v>22</v>
      </c>
    </row>
    <row r="18" spans="2:5" x14ac:dyDescent="0.35">
      <c r="B18" s="11"/>
      <c r="C18" s="58" t="s">
        <v>23</v>
      </c>
      <c r="D18" s="12">
        <v>0.28000000000000003</v>
      </c>
      <c r="E18" s="13" t="s">
        <v>24</v>
      </c>
    </row>
    <row r="19" spans="2:5" x14ac:dyDescent="0.35">
      <c r="B19" s="6"/>
      <c r="C19" s="7" t="s">
        <v>25</v>
      </c>
      <c r="D19" s="7">
        <v>3.6</v>
      </c>
      <c r="E19" s="14" t="s">
        <v>26</v>
      </c>
    </row>
  </sheetData>
  <mergeCells count="1">
    <mergeCell ref="B2:G3"/>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365BF9A1D75E4548A0E8FA44166D2838" ma:contentTypeVersion="7" ma:contentTypeDescription="Create a new document." ma:contentTypeScope="" ma:versionID="d579590bdf2b6cc142a45888eb35281d">
  <xsd:schema xmlns:xsd="http://www.w3.org/2001/XMLSchema" xmlns:xs="http://www.w3.org/2001/XMLSchema" xmlns:p="http://schemas.microsoft.com/office/2006/metadata/properties" xmlns:ns3="fe17edab-908c-43e0-acc0-4a898a699e03" targetNamespace="http://schemas.microsoft.com/office/2006/metadata/properties" ma:root="true" ma:fieldsID="172d73bd593322af67c298ba948b066b" ns3:_="">
    <xsd:import namespace="fe17edab-908c-43e0-acc0-4a898a699e03"/>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e17edab-908c-43e0-acc0-4a898a699e0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7A98F2E-8279-43B1-A8D0-0F3767D0500E}">
  <ds:schemaRefs>
    <ds:schemaRef ds:uri="http://schemas.microsoft.com/sharepoint/v3/contenttype/forms"/>
  </ds:schemaRefs>
</ds:datastoreItem>
</file>

<file path=customXml/itemProps2.xml><?xml version="1.0" encoding="utf-8"?>
<ds:datastoreItem xmlns:ds="http://schemas.openxmlformats.org/officeDocument/2006/customXml" ds:itemID="{950D28EF-D443-43EA-9083-875FE42C483F}">
  <ds:schemaRefs>
    <ds:schemaRef ds:uri="http://schemas.openxmlformats.org/package/2006/metadata/core-properties"/>
    <ds:schemaRef ds:uri="http://purl.org/dc/elements/1.1/"/>
    <ds:schemaRef ds:uri="http://purl.org/dc/dcmitype/"/>
    <ds:schemaRef ds:uri="http://schemas.microsoft.com/office/infopath/2007/PartnerControls"/>
    <ds:schemaRef ds:uri="http://schemas.microsoft.com/office/2006/documentManagement/types"/>
    <ds:schemaRef ds:uri="fe17edab-908c-43e0-acc0-4a898a699e03"/>
    <ds:schemaRef ds:uri="http://schemas.microsoft.com/office/2006/metadata/properties"/>
    <ds:schemaRef ds:uri="http://www.w3.org/XML/1998/namespace"/>
    <ds:schemaRef ds:uri="http://purl.org/dc/terms/"/>
  </ds:schemaRefs>
</ds:datastoreItem>
</file>

<file path=customXml/itemProps3.xml><?xml version="1.0" encoding="utf-8"?>
<ds:datastoreItem xmlns:ds="http://schemas.openxmlformats.org/officeDocument/2006/customXml" ds:itemID="{2C435E36-00EB-4E4E-A506-2BAE184E944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e17edab-908c-43e0-acc0-4a898a699e0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16</vt:i4>
      </vt:variant>
      <vt:variant>
        <vt:lpstr>Named Ranges</vt:lpstr>
      </vt:variant>
      <vt:variant>
        <vt:i4>4</vt:i4>
      </vt:variant>
    </vt:vector>
  </HeadingPairs>
  <TitlesOfParts>
    <vt:vector size="20" baseType="lpstr">
      <vt:lpstr>Change Log</vt:lpstr>
      <vt:lpstr>Overview</vt:lpstr>
      <vt:lpstr>Acronyms</vt:lpstr>
      <vt:lpstr>Main Input &amp; Output</vt:lpstr>
      <vt:lpstr>Summary Table</vt:lpstr>
      <vt:lpstr>Reduction by Hydrocarbon</vt:lpstr>
      <vt:lpstr>Involving Electricity</vt:lpstr>
      <vt:lpstr>Reduction by Hydrogen</vt:lpstr>
      <vt:lpstr>Involving Light</vt:lpstr>
      <vt:lpstr>Bioconversion</vt:lpstr>
      <vt:lpstr>Mineralization</vt:lpstr>
      <vt:lpstr>Incumbents</vt:lpstr>
      <vt:lpstr>Emission Factors</vt:lpstr>
      <vt:lpstr>Energy &amp; Unit Conversions</vt:lpstr>
      <vt:lpstr>Constants</vt:lpstr>
      <vt:lpstr>Process Correlations</vt:lpstr>
      <vt:lpstr>kgCO2e_per_MJ_NG_combust</vt:lpstr>
      <vt:lpstr>Mineralization_Product</vt:lpstr>
      <vt:lpstr>Mineralization_Sub_Pathway</vt:lpstr>
      <vt:lpstr>Table1</vt:lpstr>
    </vt:vector>
  </TitlesOfParts>
  <Company>University of Calgary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Emily Nishikawa</dc:creator>
  <cp:lastModifiedBy>Emily Nishikawa</cp:lastModifiedBy>
  <dcterms:created xsi:type="dcterms:W3CDTF">2019-07-29T20:57:32Z</dcterms:created>
  <dcterms:modified xsi:type="dcterms:W3CDTF">2020-03-24T00:04:44Z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0x010100365BF9A1D75E4548A0E8FA44166D2838</vt:lpwstr>
  </property>
</Properties>
</file>